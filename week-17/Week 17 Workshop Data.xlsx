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FoS-POE-2\FoS-POE2\week-17\"/>
    </mc:Choice>
  </mc:AlternateContent>
  <xr:revisionPtr revIDLastSave="0" documentId="13_ncr:1_{E0BC6837-9821-4024-A56C-4A712F42B503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Ex 2" sheetId="1" r:id="rId1"/>
    <sheet name="Ex 3" sheetId="3" r:id="rId2"/>
    <sheet name="Ex 4" sheetId="4" r:id="rId3"/>
    <sheet name="Ex 5" sheetId="5" r:id="rId4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0" i="3" l="1"/>
  <c r="G12" i="3"/>
  <c r="D9" i="3"/>
  <c r="D10" i="3"/>
  <c r="D11" i="3"/>
  <c r="D12" i="3"/>
  <c r="E12" i="3"/>
  <c r="F12" i="3"/>
  <c r="D16" i="3"/>
  <c r="D17" i="3"/>
  <c r="D18" i="3"/>
  <c r="D19" i="3"/>
  <c r="D20" i="3"/>
  <c r="E20" i="3"/>
  <c r="F20" i="3"/>
  <c r="G6" i="3"/>
  <c r="D6" i="3"/>
  <c r="E6" i="3"/>
  <c r="F6" i="3"/>
  <c r="C6" i="3"/>
  <c r="G4" i="3"/>
  <c r="G5" i="3"/>
  <c r="G3" i="3"/>
  <c r="F38" i="1"/>
  <c r="F25" i="1"/>
  <c r="F26" i="1"/>
  <c r="F27" i="1"/>
  <c r="F28" i="1"/>
  <c r="F29" i="1"/>
  <c r="F32" i="1"/>
  <c r="F33" i="1"/>
  <c r="F34" i="1"/>
  <c r="F35" i="1"/>
  <c r="F36" i="1"/>
  <c r="F37" i="1"/>
  <c r="F24" i="1"/>
  <c r="D24" i="1"/>
  <c r="D25" i="1"/>
  <c r="D26" i="1"/>
  <c r="D27" i="1"/>
  <c r="D28" i="1"/>
  <c r="D29" i="1"/>
  <c r="D30" i="1"/>
  <c r="D32" i="1"/>
  <c r="D33" i="1"/>
  <c r="D34" i="1"/>
  <c r="D35" i="1"/>
  <c r="D36" i="1"/>
  <c r="D37" i="1"/>
  <c r="D38" i="1"/>
  <c r="H37" i="1"/>
  <c r="E21" i="1"/>
</calcChain>
</file>

<file path=xl/sharedStrings.xml><?xml version="1.0" encoding="utf-8"?>
<sst xmlns="http://schemas.openxmlformats.org/spreadsheetml/2006/main" count="143" uniqueCount="64">
  <si>
    <t>Super</t>
  </si>
  <si>
    <t>Best</t>
  </si>
  <si>
    <t>Cold</t>
  </si>
  <si>
    <t>Warm</t>
  </si>
  <si>
    <t>Hot</t>
  </si>
  <si>
    <t>Wheat</t>
  </si>
  <si>
    <t>Corn</t>
  </si>
  <si>
    <t>Soy</t>
  </si>
  <si>
    <t>Rice</t>
  </si>
  <si>
    <t>Blend X</t>
  </si>
  <si>
    <t>Blend Y</t>
  </si>
  <si>
    <t>Blend Z</t>
  </si>
  <si>
    <t>Obs</t>
  </si>
  <si>
    <t>Front-end</t>
  </si>
  <si>
    <t>Back-end</t>
  </si>
  <si>
    <t>Web Traffic</t>
  </si>
  <si>
    <t>Bootstrap</t>
  </si>
  <si>
    <t>Rails</t>
  </si>
  <si>
    <t>Express</t>
  </si>
  <si>
    <t>Skeleton</t>
  </si>
  <si>
    <t>Foundation</t>
  </si>
  <si>
    <t>Age Group(yrs)</t>
  </si>
  <si>
    <t>Class Group</t>
  </si>
  <si>
    <t>8-13 yrs</t>
  </si>
  <si>
    <t>14-17 yrs</t>
  </si>
  <si>
    <t>A(Constant sound)</t>
  </si>
  <si>
    <t>B(No sound)</t>
  </si>
  <si>
    <t>5-7 yrs</t>
  </si>
  <si>
    <t>Anova: Two-Factor With Replication</t>
  </si>
  <si>
    <t>SUMMARY</t>
  </si>
  <si>
    <t>Total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</si>
  <si>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</si>
  <si>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</si>
  <si>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</si>
  <si>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</si>
  <si>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</si>
  <si>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</si>
  <si>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</si>
  <si>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</si>
  <si>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</si>
  <si>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</si>
  <si>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</si>
  <si>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</si>
  <si>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Sample</t>
  </si>
  <si>
    <t>Columns</t>
  </si>
  <si>
    <t>Interaction</t>
  </si>
  <si>
    <t>Within</t>
  </si>
  <si>
    <t>a)</t>
  </si>
  <si>
    <t xml:space="preserve">H0: detergant has no effect </t>
  </si>
  <si>
    <t>Ha: detergant has effect</t>
  </si>
  <si>
    <t>H0: temp has no effect</t>
  </si>
  <si>
    <t>Ha: temp has effect</t>
  </si>
  <si>
    <t>H0: there is interaction between temp and detergant</t>
  </si>
  <si>
    <t>Ha: there is no interaction</t>
  </si>
  <si>
    <t>b)</t>
  </si>
  <si>
    <t>Mean Table</t>
  </si>
  <si>
    <t xml:space="preserve">Sample = </t>
  </si>
  <si>
    <t>Anova: Two-Factor Without Replication</t>
  </si>
  <si>
    <t>Rows</t>
  </si>
  <si>
    <t>Error</t>
  </si>
  <si>
    <t>SSC</t>
  </si>
  <si>
    <t>SSR</t>
  </si>
  <si>
    <t>MSC</t>
  </si>
  <si>
    <t>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</si>
</sst>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rgb="FF000000"/>
      <name val="Arial Unicode MS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</borders>
  <cellStyleXfs count="5">
    <xf numFmtId="0" fontId="0" fillId="0" borderId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0" fontId="6" fillId="7" borderId="0" applyNumberFormat="0" applyBorder="0" applyAlignment="0" applyProtection="0"/>
    <xf numFmtId="0" fontId="3" fillId="8" borderId="15" applyNumberFormat="0" applyFont="0" applyAlignment="0" applyProtection="0"/>
  </cellStyleXfs>
  <cellXfs count="45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2" xfId="0" applyFont="1" applyBorder="1"/>
    <xf numFmtId="0" fontId="0" fillId="0" borderId="14" xfId="0" applyBorder="1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0" fillId="2" borderId="11" xfId="0" applyFill="1" applyBorder="1"/>
    <xf numFmtId="0" fontId="0" fillId="4" borderId="14" xfId="0" applyFill="1" applyBorder="1"/>
    <xf numFmtId="0" fontId="0" fillId="0" borderId="2" xfId="0" applyBorder="1"/>
    <xf numFmtId="0" fontId="0" fillId="0" borderId="3" xfId="0" applyBorder="1"/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0" xfId="0" applyFill="1" applyBorder="1" applyAlignment="1"/>
    <xf numFmtId="0" fontId="7" fillId="0" borderId="16" xfId="0" applyFont="1" applyFill="1" applyBorder="1" applyAlignment="1">
      <alignment horizontal="right"/>
    </xf>
    <xf numFmtId="0" fontId="0" fillId="0" borderId="17" xfId="0" applyFill="1" applyBorder="1" applyAlignment="1"/>
    <xf numFmtId="0" fontId="8" fillId="0" borderId="18" xfId="0" applyFont="1" applyFill="1" applyBorder="1" applyAlignment="1">
      <alignment horizontal="center"/>
    </xf>
    <xf numFmtId="0" fontId="4" fillId="5" borderId="0" xfId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4" fillId="5" borderId="0" xfId="1" applyBorder="1" applyAlignment="1"/>
    <xf numFmtId="0" fontId="4" fillId="5" borderId="0" xfId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5" fillId="6" borderId="0" xfId="2" applyAlignment="1">
      <alignment horizontal="left"/>
    </xf>
    <xf numFmtId="0" fontId="6" fillId="7" borderId="0" xfId="3" applyAlignment="1">
      <alignment vertical="center"/>
    </xf>
    <xf numFmtId="0" fontId="6" fillId="7" borderId="0" xfId="3" applyAlignment="1">
      <alignment horizontal="center"/>
    </xf>
    <xf numFmtId="0" fontId="6" fillId="7" borderId="0" xfId="3"/>
    <xf numFmtId="0" fontId="4" fillId="8" borderId="15" xfId="4" applyFont="1"/>
    <xf numFmtId="0" fontId="4" fillId="8" borderId="15" xfId="4" applyFont="1" applyAlignment="1"/>
  </cellXfs>
  <cellStyles count="5">
    <cellStyle name="Bad" xfId="2" builtinId="27"/>
    <cellStyle name="Good" xfId="1" builtinId="26"/>
    <cellStyle name="Neutral" xfId="3" builtinId="28"/>
    <cellStyle name="Normal" xfId="0" builtinId="0"/>
    <cellStyle name="Note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zoomScaleNormal="100" workbookViewId="0">
      <selection activeCell="F7" sqref="F7"/>
    </sheetView>
  </sheetViews>
  <sheetFormatPr defaultColWidth="8.77734375" defaultRowHeight="14.4"/>
  <cols>
    <col min="2" max="2" width="10" bestFit="1" customWidth="1"/>
    <col min="8" max="8" width="31" bestFit="1" customWidth="1"/>
    <col min="9" max="13" width="12" bestFit="1" customWidth="1"/>
    <col min="14" max="14" width="13.33203125" bestFit="1" customWidth="1"/>
    <col min="15" max="15" width="6.44140625" bestFit="1" customWidth="1"/>
    <col min="16" max="16" width="5.5546875" bestFit="1" customWidth="1"/>
    <col min="17" max="17" width="10" bestFit="1" customWidth="1"/>
  </cols>
  <sheetData>
    <row r="1" spans="1:13" ht="20.25" customHeight="1">
      <c r="A1" s="3"/>
      <c r="B1" s="4" t="s">
        <v>2</v>
      </c>
      <c r="C1" s="4" t="s">
        <v>3</v>
      </c>
      <c r="D1" s="5" t="s">
        <v>4</v>
      </c>
    </row>
    <row r="2" spans="1:13">
      <c r="A2" s="1" t="s">
        <v>0</v>
      </c>
      <c r="B2" s="6">
        <v>4</v>
      </c>
      <c r="C2" s="7">
        <v>7</v>
      </c>
      <c r="D2" s="8">
        <v>10</v>
      </c>
      <c r="G2" s="32" t="s">
        <v>54</v>
      </c>
      <c r="H2" t="s">
        <v>28</v>
      </c>
    </row>
    <row r="3" spans="1:13">
      <c r="A3" s="1"/>
      <c r="B3" s="9">
        <v>6</v>
      </c>
      <c r="C3" s="10">
        <v>8</v>
      </c>
      <c r="D3" s="11">
        <v>11</v>
      </c>
    </row>
    <row r="4" spans="1:13">
      <c r="A4" s="1" t="s">
        <v>1</v>
      </c>
      <c r="B4" s="9">
        <v>6</v>
      </c>
      <c r="C4" s="10">
        <v>13</v>
      </c>
      <c r="D4" s="11">
        <v>12</v>
      </c>
      <c r="H4" t="s">
        <v>29</v>
      </c>
      <c r="I4" t="s">
        <v>2</v>
      </c>
      <c r="J4" t="s">
        <v>3</v>
      </c>
      <c r="K4" t="s">
        <v>4</v>
      </c>
      <c r="L4" t="s">
        <v>30</v>
      </c>
    </row>
    <row r="5" spans="1:13" ht="15" thickBot="1">
      <c r="A5" s="2"/>
      <c r="B5" s="12">
        <v>4</v>
      </c>
      <c r="C5" s="13">
        <v>12</v>
      </c>
      <c r="D5" s="14">
        <v>13</v>
      </c>
      <c r="H5" s="29" t="s">
        <v>0</v>
      </c>
      <c r="I5" s="29"/>
      <c r="J5" s="29"/>
      <c r="K5" s="29"/>
      <c r="L5" s="29"/>
    </row>
    <row r="6" spans="1:13">
      <c r="H6" s="28" t="s">
        <v>31</v>
      </c>
      <c r="I6" s="28">
        <v>2</v>
      </c>
      <c r="J6" s="28">
        <v>2</v>
      </c>
      <c r="K6" s="28">
        <v>2</v>
      </c>
      <c r="L6" s="28">
        <v>6</v>
      </c>
    </row>
    <row r="7" spans="1:13">
      <c r="A7" s="32" t="s">
        <v>47</v>
      </c>
      <c r="H7" s="28" t="s">
        <v>32</v>
      </c>
      <c r="I7" s="28">
        <v>10</v>
      </c>
      <c r="J7" s="28">
        <v>15</v>
      </c>
      <c r="K7" s="28">
        <v>21</v>
      </c>
      <c r="L7" s="28">
        <v>46</v>
      </c>
    </row>
    <row r="8" spans="1:13">
      <c r="A8" s="36" t="s">
        <v>48</v>
      </c>
      <c r="B8" s="36"/>
      <c r="C8" s="36"/>
      <c r="D8" s="37"/>
      <c r="E8" s="37"/>
      <c r="F8" s="37"/>
      <c r="H8" s="28" t="s">
        <v>33</v>
      </c>
      <c r="I8" s="28">
        <v>5</v>
      </c>
      <c r="J8" s="28">
        <v>7.5</v>
      </c>
      <c r="K8" s="28">
        <v>10.5</v>
      </c>
      <c r="L8" s="28">
        <v>7.666666666666667</v>
      </c>
      <c r="M8" s="33"/>
    </row>
    <row r="9" spans="1:13">
      <c r="A9" s="38" t="s">
        <v>49</v>
      </c>
      <c r="B9" s="38"/>
      <c r="C9" s="38"/>
      <c r="D9" s="37"/>
      <c r="E9" s="37"/>
      <c r="F9" s="37"/>
      <c r="H9" s="28" t="s">
        <v>34</v>
      </c>
      <c r="I9" s="28">
        <v>2</v>
      </c>
      <c r="J9" s="28">
        <v>0.5</v>
      </c>
      <c r="K9" s="28">
        <v>0.5</v>
      </c>
      <c r="L9" s="28">
        <v>6.6666666666666625</v>
      </c>
    </row>
    <row r="10" spans="1:13">
      <c r="A10" s="37"/>
      <c r="B10" s="37"/>
      <c r="C10" s="37"/>
      <c r="D10" s="37"/>
      <c r="E10" s="37"/>
      <c r="F10" s="37"/>
      <c r="H10" s="28"/>
      <c r="I10" s="28"/>
      <c r="J10" s="28"/>
      <c r="K10" s="28"/>
      <c r="L10" s="28"/>
    </row>
    <row r="11" spans="1:13" ht="15" thickBot="1">
      <c r="A11" s="36" t="s">
        <v>50</v>
      </c>
      <c r="B11" s="36"/>
      <c r="C11" s="36"/>
      <c r="D11" s="37"/>
      <c r="E11" s="37"/>
      <c r="F11" s="37"/>
      <c r="H11" s="29" t="s">
        <v>1</v>
      </c>
      <c r="I11" s="29"/>
      <c r="J11" s="29"/>
      <c r="K11" s="29"/>
      <c r="L11" s="29"/>
    </row>
    <row r="12" spans="1:13">
      <c r="A12" s="38" t="s">
        <v>51</v>
      </c>
      <c r="B12" s="38"/>
      <c r="C12" s="38"/>
      <c r="D12" s="37"/>
      <c r="E12" s="37"/>
      <c r="F12" s="37"/>
      <c r="H12" s="28" t="s">
        <v>31</v>
      </c>
      <c r="I12" s="28">
        <v>2</v>
      </c>
      <c r="J12" s="28">
        <v>2</v>
      </c>
      <c r="K12" s="28">
        <v>2</v>
      </c>
      <c r="L12" s="28">
        <v>6</v>
      </c>
    </row>
    <row r="13" spans="1:13">
      <c r="A13" s="37"/>
      <c r="B13" s="37"/>
      <c r="C13" s="37"/>
      <c r="D13" s="37"/>
      <c r="E13" s="37"/>
      <c r="F13" s="37"/>
      <c r="H13" s="28" t="s">
        <v>32</v>
      </c>
      <c r="I13" s="28">
        <v>10</v>
      </c>
      <c r="J13" s="28">
        <v>25</v>
      </c>
      <c r="K13" s="28">
        <v>25</v>
      </c>
      <c r="L13" s="28">
        <v>60</v>
      </c>
    </row>
    <row r="14" spans="1:13">
      <c r="A14" s="39" t="s">
        <v>52</v>
      </c>
      <c r="B14" s="39"/>
      <c r="C14" s="39"/>
      <c r="D14" s="39"/>
      <c r="E14" s="39"/>
      <c r="F14" s="39"/>
      <c r="H14" s="28" t="s">
        <v>33</v>
      </c>
      <c r="I14" s="28">
        <v>5</v>
      </c>
      <c r="J14" s="28">
        <v>12.5</v>
      </c>
      <c r="K14" s="28">
        <v>12.5</v>
      </c>
      <c r="L14" s="28">
        <v>10</v>
      </c>
    </row>
    <row r="15" spans="1:13">
      <c r="A15" s="38" t="s">
        <v>53</v>
      </c>
      <c r="B15" s="38"/>
      <c r="C15" s="38"/>
      <c r="D15" s="38"/>
      <c r="E15" s="37"/>
      <c r="F15" s="37"/>
      <c r="H15" s="28" t="s">
        <v>34</v>
      </c>
      <c r="I15" s="28">
        <v>2</v>
      </c>
      <c r="J15" s="28">
        <v>0.5</v>
      </c>
      <c r="K15" s="28">
        <v>0.5</v>
      </c>
      <c r="L15" s="28">
        <v>15.6</v>
      </c>
    </row>
    <row r="16" spans="1:13">
      <c r="A16" s="37"/>
      <c r="B16" s="37"/>
      <c r="C16" s="37"/>
      <c r="D16" s="37"/>
      <c r="E16" s="37"/>
      <c r="F16" s="37"/>
      <c r="H16" s="28"/>
      <c r="I16" s="28"/>
      <c r="J16" s="28"/>
      <c r="K16" s="28"/>
      <c r="L16" s="28"/>
    </row>
    <row r="17" spans="1:14" ht="15" thickBot="1">
      <c r="B17" s="34" t="s">
        <v>55</v>
      </c>
      <c r="C17" s="34"/>
      <c r="D17" s="34"/>
      <c r="E17" s="34"/>
      <c r="F17" s="16"/>
      <c r="H17" s="29" t="s">
        <v>30</v>
      </c>
      <c r="I17" s="29"/>
      <c r="J17" s="29"/>
      <c r="K17" s="29"/>
    </row>
    <row r="18" spans="1:14">
      <c r="B18" s="16" t="s">
        <v>2</v>
      </c>
      <c r="C18" s="16" t="s">
        <v>3</v>
      </c>
      <c r="D18" s="16" t="s">
        <v>4</v>
      </c>
      <c r="E18" s="16" t="s">
        <v>33</v>
      </c>
      <c r="F18" s="16"/>
      <c r="H18" s="28" t="s">
        <v>31</v>
      </c>
      <c r="I18" s="28">
        <v>4</v>
      </c>
      <c r="J18" s="28">
        <v>4</v>
      </c>
      <c r="K18" s="28">
        <v>4</v>
      </c>
    </row>
    <row r="19" spans="1:14">
      <c r="A19" s="33" t="s">
        <v>0</v>
      </c>
      <c r="B19">
        <v>5</v>
      </c>
      <c r="C19">
        <v>7.5</v>
      </c>
      <c r="D19">
        <v>10.5</v>
      </c>
      <c r="E19">
        <v>7.6666670000000003</v>
      </c>
      <c r="H19" s="28" t="s">
        <v>32</v>
      </c>
      <c r="I19" s="28">
        <v>20</v>
      </c>
      <c r="J19" s="28">
        <v>40</v>
      </c>
      <c r="K19" s="28">
        <v>46</v>
      </c>
    </row>
    <row r="20" spans="1:14">
      <c r="A20" s="33" t="s">
        <v>1</v>
      </c>
      <c r="B20" s="28">
        <v>5</v>
      </c>
      <c r="C20" s="28">
        <v>12.5</v>
      </c>
      <c r="D20" s="28">
        <v>12.5</v>
      </c>
      <c r="E20" s="28">
        <v>10</v>
      </c>
      <c r="F20" s="28"/>
      <c r="H20" s="28" t="s">
        <v>33</v>
      </c>
      <c r="I20" s="28">
        <v>5</v>
      </c>
      <c r="J20" s="28">
        <v>10</v>
      </c>
      <c r="K20" s="28">
        <v>11.5</v>
      </c>
    </row>
    <row r="21" spans="1:14">
      <c r="A21" s="33" t="s">
        <v>33</v>
      </c>
      <c r="B21" s="28">
        <v>5</v>
      </c>
      <c r="C21" s="28">
        <v>10</v>
      </c>
      <c r="D21" s="28">
        <v>11.5</v>
      </c>
      <c r="E21">
        <f>(D21+C21+B21)/3</f>
        <v>8.8333333333333339</v>
      </c>
      <c r="H21" s="28" t="s">
        <v>34</v>
      </c>
      <c r="I21" s="28">
        <v>1.3333333333333333</v>
      </c>
      <c r="J21" s="28">
        <v>8.6666666666666661</v>
      </c>
      <c r="K21" s="28">
        <v>1.6666666666666667</v>
      </c>
    </row>
    <row r="22" spans="1:14">
      <c r="H22" s="28"/>
      <c r="I22" s="28"/>
      <c r="J22" s="28"/>
      <c r="K22" s="28"/>
    </row>
    <row r="24" spans="1:14" ht="15" thickBot="1">
      <c r="A24">
        <v>4</v>
      </c>
      <c r="B24">
        <v>7.6666670000000003</v>
      </c>
      <c r="C24">
        <v>8.8333300000000001</v>
      </c>
      <c r="D24">
        <f>POWER(B24-C24,2)</f>
        <v>1.3611025555689995</v>
      </c>
      <c r="F24">
        <f>POWER(A24-C24,2)</f>
        <v>23.3610788889</v>
      </c>
      <c r="H24" t="s">
        <v>35</v>
      </c>
    </row>
    <row r="25" spans="1:14">
      <c r="A25">
        <v>6</v>
      </c>
      <c r="B25">
        <v>7.6666670000000003</v>
      </c>
      <c r="C25">
        <v>8.8333300000000001</v>
      </c>
      <c r="D25">
        <f t="shared" ref="D25:D29" si="0">POWER(B25-C25,2)</f>
        <v>1.3611025555689995</v>
      </c>
      <c r="F25">
        <f t="shared" ref="F25:F37" si="1">POWER(A25-C25,2)</f>
        <v>8.0277588889000011</v>
      </c>
      <c r="H25" s="31" t="s">
        <v>36</v>
      </c>
      <c r="I25" s="31" t="s">
        <v>37</v>
      </c>
      <c r="J25" s="31" t="s">
        <v>38</v>
      </c>
      <c r="K25" s="31" t="s">
        <v>39</v>
      </c>
      <c r="L25" s="31" t="s">
        <v>40</v>
      </c>
      <c r="M25" s="31" t="s">
        <v>41</v>
      </c>
      <c r="N25" s="31" t="s">
        <v>42</v>
      </c>
    </row>
    <row r="26" spans="1:14">
      <c r="A26">
        <v>7</v>
      </c>
      <c r="B26">
        <v>7.6666670000000003</v>
      </c>
      <c r="C26">
        <v>8.8333300000000001</v>
      </c>
      <c r="D26">
        <f t="shared" si="0"/>
        <v>1.3611025555689995</v>
      </c>
      <c r="F26">
        <f t="shared" si="1"/>
        <v>3.3610988889000004</v>
      </c>
      <c r="H26" s="28" t="s">
        <v>43</v>
      </c>
      <c r="I26" s="35">
        <v>16.333333333333314</v>
      </c>
      <c r="J26" s="28">
        <v>1</v>
      </c>
      <c r="K26" s="28">
        <v>16.333333333333314</v>
      </c>
      <c r="L26" s="28">
        <v>16.333333333333314</v>
      </c>
      <c r="M26" s="28">
        <v>6.7915377453372922E-3</v>
      </c>
      <c r="N26" s="28">
        <v>13.745022533304169</v>
      </c>
    </row>
    <row r="27" spans="1:14">
      <c r="A27">
        <v>8</v>
      </c>
      <c r="B27">
        <v>7.6666670000000003</v>
      </c>
      <c r="C27">
        <v>8.8333300000000001</v>
      </c>
      <c r="D27">
        <f t="shared" si="0"/>
        <v>1.3611025555689995</v>
      </c>
      <c r="F27">
        <f t="shared" si="1"/>
        <v>0.69443888890000016</v>
      </c>
      <c r="H27" s="28" t="s">
        <v>44</v>
      </c>
      <c r="I27" s="28">
        <v>92.666666666666657</v>
      </c>
      <c r="J27" s="28">
        <v>2</v>
      </c>
      <c r="K27" s="28">
        <v>46.333333333333329</v>
      </c>
      <c r="L27" s="28">
        <v>46.333333333333329</v>
      </c>
      <c r="M27" s="28">
        <v>2.2487562434604058E-4</v>
      </c>
      <c r="N27" s="28">
        <v>10.924766500838338</v>
      </c>
    </row>
    <row r="28" spans="1:14">
      <c r="A28">
        <v>10</v>
      </c>
      <c r="B28">
        <v>7.6666670000000003</v>
      </c>
      <c r="C28">
        <v>8.8333300000000001</v>
      </c>
      <c r="D28">
        <f t="shared" si="0"/>
        <v>1.3611025555689995</v>
      </c>
      <c r="F28">
        <f t="shared" si="1"/>
        <v>1.3611188888999997</v>
      </c>
      <c r="H28" s="28" t="s">
        <v>45</v>
      </c>
      <c r="I28" s="28">
        <v>12.666666666666686</v>
      </c>
      <c r="J28" s="28">
        <v>2</v>
      </c>
      <c r="K28" s="28">
        <v>6.3333333333333428</v>
      </c>
      <c r="L28" s="28">
        <v>6.3333333333333428</v>
      </c>
      <c r="M28" s="28">
        <v>3.3208819241982407E-2</v>
      </c>
      <c r="N28" s="28">
        <v>10.924766500838338</v>
      </c>
    </row>
    <row r="29" spans="1:14">
      <c r="A29">
        <v>11</v>
      </c>
      <c r="B29">
        <v>7.6666670000000003</v>
      </c>
      <c r="C29">
        <v>8.8333300000000001</v>
      </c>
      <c r="D29">
        <f t="shared" si="0"/>
        <v>1.3611025555689995</v>
      </c>
      <c r="F29">
        <f t="shared" si="1"/>
        <v>4.6944588888999998</v>
      </c>
      <c r="H29" s="28" t="s">
        <v>46</v>
      </c>
      <c r="I29" s="28">
        <v>6</v>
      </c>
      <c r="J29" s="28">
        <v>6</v>
      </c>
      <c r="K29" s="28">
        <v>1</v>
      </c>
      <c r="L29" s="28"/>
      <c r="M29" s="28"/>
      <c r="N29" s="28"/>
    </row>
    <row r="30" spans="1:14">
      <c r="D30">
        <f>SUM(D24:D29)</f>
        <v>8.166615333413997</v>
      </c>
      <c r="H30" s="28"/>
      <c r="I30" s="28"/>
      <c r="J30" s="28"/>
      <c r="K30" s="28"/>
      <c r="L30" s="28"/>
      <c r="M30" s="28"/>
      <c r="N30" s="28"/>
    </row>
    <row r="31" spans="1:14" ht="15" thickBot="1">
      <c r="H31" s="30" t="s">
        <v>30</v>
      </c>
      <c r="I31" s="30">
        <v>127.66666666666666</v>
      </c>
      <c r="J31" s="30">
        <v>11</v>
      </c>
      <c r="K31" s="30"/>
      <c r="L31" s="30"/>
      <c r="M31" s="30"/>
      <c r="N31" s="30"/>
    </row>
    <row r="32" spans="1:14">
      <c r="A32">
        <v>6</v>
      </c>
      <c r="B32">
        <v>10</v>
      </c>
      <c r="C32">
        <v>8.8333300000000001</v>
      </c>
      <c r="D32">
        <f>POWER(B32-C32,2)</f>
        <v>1.3611188888999997</v>
      </c>
      <c r="F32">
        <f t="shared" si="1"/>
        <v>8.0277588889000011</v>
      </c>
    </row>
    <row r="33" spans="1:8">
      <c r="A33">
        <v>4</v>
      </c>
      <c r="B33">
        <v>10</v>
      </c>
      <c r="C33">
        <v>8.8333300000000001</v>
      </c>
      <c r="D33">
        <f t="shared" ref="D33:D37" si="2">POWER(B33-C33,2)</f>
        <v>1.3611188888999997</v>
      </c>
      <c r="F33">
        <f t="shared" si="1"/>
        <v>23.3610788889</v>
      </c>
    </row>
    <row r="34" spans="1:8">
      <c r="A34">
        <v>13</v>
      </c>
      <c r="B34">
        <v>10</v>
      </c>
      <c r="C34">
        <v>8.8333300000000001</v>
      </c>
      <c r="D34">
        <f t="shared" si="2"/>
        <v>1.3611188888999997</v>
      </c>
      <c r="F34">
        <f t="shared" si="1"/>
        <v>17.361138888899998</v>
      </c>
    </row>
    <row r="35" spans="1:8">
      <c r="A35">
        <v>12</v>
      </c>
      <c r="B35">
        <v>10</v>
      </c>
      <c r="C35">
        <v>8.8333300000000001</v>
      </c>
      <c r="D35">
        <f t="shared" si="2"/>
        <v>1.3611188888999997</v>
      </c>
      <c r="F35">
        <f t="shared" si="1"/>
        <v>10.0277988889</v>
      </c>
    </row>
    <row r="36" spans="1:8">
      <c r="A36">
        <v>12</v>
      </c>
      <c r="B36">
        <v>10</v>
      </c>
      <c r="C36">
        <v>8.8333300000000001</v>
      </c>
      <c r="D36">
        <f t="shared" si="2"/>
        <v>1.3611188888999997</v>
      </c>
      <c r="F36">
        <f t="shared" si="1"/>
        <v>10.0277988889</v>
      </c>
    </row>
    <row r="37" spans="1:8">
      <c r="A37">
        <v>13</v>
      </c>
      <c r="B37">
        <v>10</v>
      </c>
      <c r="C37">
        <v>8.8333300000000001</v>
      </c>
      <c r="D37">
        <f t="shared" si="2"/>
        <v>1.3611188888999997</v>
      </c>
      <c r="F37">
        <f t="shared" si="1"/>
        <v>17.361138888899998</v>
      </c>
      <c r="G37" t="s">
        <v>56</v>
      </c>
      <c r="H37" s="32">
        <f>D30+D38</f>
        <v>16.333328666813998</v>
      </c>
    </row>
    <row r="38" spans="1:8">
      <c r="D38">
        <f>SUM(D32:D37)</f>
        <v>8.1667133333999988</v>
      </c>
      <c r="F38">
        <f>SUM(F24:F37)</f>
        <v>127.6666666668</v>
      </c>
    </row>
  </sheetData>
  <mergeCells count="7">
    <mergeCell ref="B17:E17"/>
    <mergeCell ref="A8:C8"/>
    <mergeCell ref="A9:C9"/>
    <mergeCell ref="A11:C11"/>
    <mergeCell ref="A12:C12"/>
    <mergeCell ref="A15:D15"/>
    <mergeCell ref="A14:F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21"/>
  <sheetViews>
    <sheetView tabSelected="1" workbookViewId="0">
      <selection activeCell="G21" sqref="G21"/>
    </sheetView>
  </sheetViews>
  <sheetFormatPr defaultColWidth="8.77734375" defaultRowHeight="14.4"/>
  <cols>
    <col min="9" max="9" width="17" bestFit="1" customWidth="1"/>
    <col min="10" max="10" width="12" bestFit="1" customWidth="1"/>
    <col min="11" max="11" width="5.109375" bestFit="1" customWidth="1"/>
    <col min="12" max="15" width="12" bestFit="1" customWidth="1"/>
  </cols>
  <sheetData>
    <row r="2" spans="2:15">
      <c r="B2" s="40"/>
      <c r="C2" s="41" t="s">
        <v>5</v>
      </c>
      <c r="D2" s="41" t="s">
        <v>6</v>
      </c>
      <c r="E2" s="41" t="s">
        <v>7</v>
      </c>
      <c r="F2" s="41" t="s">
        <v>8</v>
      </c>
      <c r="G2" t="s">
        <v>33</v>
      </c>
      <c r="I2" s="34" t="s">
        <v>57</v>
      </c>
      <c r="J2" s="34"/>
      <c r="K2" s="34"/>
      <c r="L2" s="34"/>
      <c r="M2" s="34"/>
    </row>
    <row r="3" spans="2:15" ht="15" thickBot="1">
      <c r="B3" s="40" t="s">
        <v>9</v>
      </c>
      <c r="C3" s="42">
        <v>123</v>
      </c>
      <c r="D3" s="42">
        <v>138</v>
      </c>
      <c r="E3" s="42">
        <v>110</v>
      </c>
      <c r="F3" s="42">
        <v>151</v>
      </c>
      <c r="G3">
        <f>AVERAGE(C3:F3)</f>
        <v>130.5</v>
      </c>
    </row>
    <row r="4" spans="2:15">
      <c r="B4" s="40" t="s">
        <v>10</v>
      </c>
      <c r="C4" s="42">
        <v>145</v>
      </c>
      <c r="D4" s="42">
        <v>165</v>
      </c>
      <c r="E4" s="42">
        <v>140</v>
      </c>
      <c r="F4" s="42">
        <v>167</v>
      </c>
      <c r="G4">
        <f t="shared" ref="G4:G5" si="0">AVERAGE(C4:F4)</f>
        <v>154.25</v>
      </c>
      <c r="I4" s="31" t="s">
        <v>29</v>
      </c>
      <c r="J4" s="31" t="s">
        <v>31</v>
      </c>
      <c r="K4" s="31" t="s">
        <v>32</v>
      </c>
      <c r="L4" s="31" t="s">
        <v>33</v>
      </c>
      <c r="M4" s="31" t="s">
        <v>34</v>
      </c>
    </row>
    <row r="5" spans="2:15">
      <c r="B5" s="40" t="s">
        <v>11</v>
      </c>
      <c r="C5" s="42">
        <v>156</v>
      </c>
      <c r="D5" s="42">
        <v>176</v>
      </c>
      <c r="E5" s="42">
        <v>185</v>
      </c>
      <c r="F5" s="42">
        <v>175</v>
      </c>
      <c r="G5">
        <f t="shared" si="0"/>
        <v>173</v>
      </c>
      <c r="I5" s="28" t="s">
        <v>9</v>
      </c>
      <c r="J5" s="28">
        <v>4</v>
      </c>
      <c r="K5" s="28">
        <v>522</v>
      </c>
      <c r="L5" s="28">
        <v>130.5</v>
      </c>
      <c r="M5" s="28">
        <v>317.66666666666669</v>
      </c>
    </row>
    <row r="6" spans="2:15">
      <c r="B6" s="15" t="s">
        <v>33</v>
      </c>
      <c r="C6">
        <f>AVERAGE(C3:C5)</f>
        <v>141.33333333333334</v>
      </c>
      <c r="D6">
        <f t="shared" ref="D6:F6" si="1">AVERAGE(D3:D5)</f>
        <v>159.66666666666666</v>
      </c>
      <c r="E6">
        <f t="shared" si="1"/>
        <v>145</v>
      </c>
      <c r="F6">
        <f t="shared" si="1"/>
        <v>164.33333333333334</v>
      </c>
      <c r="G6">
        <f>AVERAGE(C6:F6)</f>
        <v>152.58333333333334</v>
      </c>
      <c r="I6" s="28" t="s">
        <v>10</v>
      </c>
      <c r="J6" s="28">
        <v>4</v>
      </c>
      <c r="K6" s="28">
        <v>617</v>
      </c>
      <c r="L6" s="28">
        <v>154.25</v>
      </c>
      <c r="M6" s="28">
        <v>188.91666666666666</v>
      </c>
    </row>
    <row r="7" spans="2:15">
      <c r="I7" s="28" t="s">
        <v>11</v>
      </c>
      <c r="J7" s="28">
        <v>4</v>
      </c>
      <c r="K7" s="28">
        <v>692</v>
      </c>
      <c r="L7" s="28">
        <v>173</v>
      </c>
      <c r="M7" s="28">
        <v>148.66666666666666</v>
      </c>
    </row>
    <row r="8" spans="2:15">
      <c r="B8" s="15"/>
      <c r="I8" s="28"/>
      <c r="J8" s="28"/>
      <c r="K8" s="28"/>
      <c r="L8" s="28"/>
      <c r="M8" s="28"/>
    </row>
    <row r="9" spans="2:15">
      <c r="B9">
        <v>130.5</v>
      </c>
      <c r="C9">
        <v>152.58330000000001</v>
      </c>
      <c r="D9">
        <f>POWER(B9-C9,2)</f>
        <v>487.67213889000038</v>
      </c>
      <c r="I9" s="28" t="s">
        <v>5</v>
      </c>
      <c r="J9" s="28">
        <v>3</v>
      </c>
      <c r="K9" s="28">
        <v>424</v>
      </c>
      <c r="L9" s="28">
        <v>141.33333333333334</v>
      </c>
      <c r="M9" s="28">
        <v>282.33333333333337</v>
      </c>
    </row>
    <row r="10" spans="2:15">
      <c r="B10">
        <v>154.25</v>
      </c>
      <c r="C10">
        <v>152.58330000000001</v>
      </c>
      <c r="D10">
        <f t="shared" ref="D10:D11" si="2">POWER(B10-C10,2)</f>
        <v>2.7778888899999723</v>
      </c>
      <c r="I10" s="28" t="s">
        <v>6</v>
      </c>
      <c r="J10" s="28">
        <v>3</v>
      </c>
      <c r="K10" s="28">
        <v>479</v>
      </c>
      <c r="L10" s="28">
        <v>159.66666666666666</v>
      </c>
      <c r="M10" s="28">
        <v>382.33333333333337</v>
      </c>
    </row>
    <row r="11" spans="2:15">
      <c r="B11">
        <v>173</v>
      </c>
      <c r="C11">
        <v>152.58330000000001</v>
      </c>
      <c r="D11">
        <f t="shared" si="2"/>
        <v>416.84163888999967</v>
      </c>
      <c r="E11" s="16" t="s">
        <v>61</v>
      </c>
      <c r="F11" s="16" t="s">
        <v>63</v>
      </c>
      <c r="G11" t="s">
        <v>40</v>
      </c>
      <c r="I11" s="28" t="s">
        <v>7</v>
      </c>
      <c r="J11" s="28">
        <v>3</v>
      </c>
      <c r="K11" s="28">
        <v>435</v>
      </c>
      <c r="L11" s="28">
        <v>145</v>
      </c>
      <c r="M11" s="28">
        <v>1425</v>
      </c>
    </row>
    <row r="12" spans="2:15" ht="15" thickBot="1">
      <c r="D12">
        <f>SUM(D9:D11)</f>
        <v>907.29166667000004</v>
      </c>
      <c r="E12" s="32">
        <f>D12*4</f>
        <v>3629.1666666800002</v>
      </c>
      <c r="F12">
        <f>E12/K17</f>
        <v>1814.5833333400001</v>
      </c>
      <c r="G12">
        <f>F12/L19</f>
        <v>12.826428431227168</v>
      </c>
      <c r="I12" s="30" t="s">
        <v>8</v>
      </c>
      <c r="J12" s="30">
        <v>3</v>
      </c>
      <c r="K12" s="30">
        <v>493</v>
      </c>
      <c r="L12" s="30">
        <v>164.33333333333334</v>
      </c>
      <c r="M12" s="30">
        <v>149.33333333333331</v>
      </c>
    </row>
    <row r="15" spans="2:15" ht="15" thickBot="1">
      <c r="I15" t="s">
        <v>35</v>
      </c>
    </row>
    <row r="16" spans="2:15">
      <c r="B16" s="15">
        <v>141.33330000000001</v>
      </c>
      <c r="C16">
        <v>152.58330000000001</v>
      </c>
      <c r="D16">
        <f>POWER(B16-C16,2)</f>
        <v>126.5625</v>
      </c>
      <c r="I16" s="31" t="s">
        <v>36</v>
      </c>
      <c r="J16" s="31" t="s">
        <v>37</v>
      </c>
      <c r="K16" s="31" t="s">
        <v>38</v>
      </c>
      <c r="L16" s="31" t="s">
        <v>39</v>
      </c>
      <c r="M16" s="31" t="s">
        <v>40</v>
      </c>
      <c r="N16" s="31" t="s">
        <v>41</v>
      </c>
      <c r="O16" s="31" t="s">
        <v>42</v>
      </c>
    </row>
    <row r="17" spans="2:15">
      <c r="B17" s="15">
        <v>159.66669999999999</v>
      </c>
      <c r="C17">
        <v>152.58330000000001</v>
      </c>
      <c r="D17">
        <f t="shared" ref="D17:D19" si="3">POWER(B17-C17,2)</f>
        <v>50.17455555999976</v>
      </c>
      <c r="I17" s="28" t="s">
        <v>58</v>
      </c>
      <c r="J17" s="35">
        <v>3629.166666666667</v>
      </c>
      <c r="K17" s="28">
        <v>2</v>
      </c>
      <c r="L17" s="28">
        <v>1814.5833333333335</v>
      </c>
      <c r="M17" s="28">
        <v>12.826428431180044</v>
      </c>
      <c r="N17" s="28">
        <v>6.8110647607704973E-3</v>
      </c>
      <c r="O17" s="28">
        <v>3.4633040700956501</v>
      </c>
    </row>
    <row r="18" spans="2:15">
      <c r="B18">
        <v>145</v>
      </c>
      <c r="C18">
        <v>152.58330000000001</v>
      </c>
      <c r="D18">
        <f t="shared" si="3"/>
        <v>57.506438890000126</v>
      </c>
      <c r="I18" s="28" t="s">
        <v>44</v>
      </c>
      <c r="J18" s="44">
        <v>1116.9166666666661</v>
      </c>
      <c r="K18" s="28">
        <v>3</v>
      </c>
      <c r="L18" s="28">
        <v>372.30555555555537</v>
      </c>
      <c r="M18" s="28">
        <v>2.6316512860789287</v>
      </c>
      <c r="N18" s="28">
        <v>0.14456121517442133</v>
      </c>
      <c r="O18" s="28">
        <v>3.2887615634582406</v>
      </c>
    </row>
    <row r="19" spans="2:15">
      <c r="B19" s="15">
        <v>164.33330000000001</v>
      </c>
      <c r="C19">
        <v>152.58330000000001</v>
      </c>
      <c r="D19">
        <f t="shared" si="3"/>
        <v>138.0625</v>
      </c>
      <c r="E19" s="16" t="s">
        <v>60</v>
      </c>
      <c r="F19" s="16" t="s">
        <v>62</v>
      </c>
      <c r="G19" t="s">
        <v>40</v>
      </c>
      <c r="I19" s="28" t="s">
        <v>59</v>
      </c>
      <c r="J19" s="28">
        <v>848.83333333333394</v>
      </c>
      <c r="K19" s="28">
        <v>6</v>
      </c>
      <c r="L19" s="28">
        <v>141.47222222222231</v>
      </c>
      <c r="M19" s="28"/>
      <c r="N19" s="28"/>
      <c r="O19" s="28"/>
    </row>
    <row r="20" spans="2:15">
      <c r="D20">
        <f>SUM(D16:D19)</f>
        <v>372.3059944499999</v>
      </c>
      <c r="E20" s="43">
        <f>D20*3</f>
        <v>1116.9179833499998</v>
      </c>
      <c r="F20">
        <f>E20/K18</f>
        <v>372.3059944499999</v>
      </c>
      <c r="G20">
        <f>F20/L19</f>
        <v>2.6316543884154697</v>
      </c>
      <c r="I20" s="28"/>
      <c r="J20" s="28"/>
      <c r="K20" s="28"/>
      <c r="L20" s="28"/>
      <c r="M20" s="28"/>
      <c r="N20" s="28"/>
      <c r="O20" s="28"/>
    </row>
    <row r="21" spans="2:15" ht="15" thickBot="1">
      <c r="I21" s="30" t="s">
        <v>30</v>
      </c>
      <c r="J21" s="30">
        <v>5594.916666666667</v>
      </c>
      <c r="K21" s="30">
        <v>11</v>
      </c>
      <c r="L21" s="30"/>
      <c r="M21" s="30"/>
      <c r="N21" s="30"/>
      <c r="O21" s="30"/>
    </row>
  </sheetData>
  <mergeCells count="1">
    <mergeCell ref="I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selection activeCell="E9" sqref="E9"/>
    </sheetView>
  </sheetViews>
  <sheetFormatPr defaultColWidth="8.77734375" defaultRowHeight="14.4"/>
  <cols>
    <col min="2" max="2" width="14.109375" customWidth="1"/>
    <col min="3" max="3" width="14.44140625" customWidth="1"/>
    <col min="4" max="4" width="11.109375" bestFit="1" customWidth="1"/>
  </cols>
  <sheetData>
    <row r="1" spans="1:4" ht="15.6">
      <c r="A1" s="17" t="s">
        <v>12</v>
      </c>
      <c r="B1" s="18" t="s">
        <v>13</v>
      </c>
      <c r="C1" s="18" t="s">
        <v>14</v>
      </c>
      <c r="D1" s="13" t="s">
        <v>15</v>
      </c>
    </row>
    <row r="2" spans="1:4">
      <c r="A2" s="19">
        <v>1</v>
      </c>
      <c r="B2" s="6" t="s">
        <v>16</v>
      </c>
      <c r="C2" s="7" t="s">
        <v>17</v>
      </c>
      <c r="D2" s="8">
        <v>1234</v>
      </c>
    </row>
    <row r="3" spans="1:4">
      <c r="A3" s="1">
        <v>2</v>
      </c>
      <c r="B3" s="9" t="s">
        <v>16</v>
      </c>
      <c r="C3" s="10" t="s">
        <v>17</v>
      </c>
      <c r="D3" s="11">
        <v>1345</v>
      </c>
    </row>
    <row r="4" spans="1:4">
      <c r="A4" s="1">
        <v>3</v>
      </c>
      <c r="B4" s="9" t="s">
        <v>16</v>
      </c>
      <c r="C4" s="10" t="s">
        <v>17</v>
      </c>
      <c r="D4" s="11">
        <v>1450</v>
      </c>
    </row>
    <row r="5" spans="1:4">
      <c r="A5" s="1">
        <v>4</v>
      </c>
      <c r="B5" s="9" t="s">
        <v>16</v>
      </c>
      <c r="C5" s="10" t="s">
        <v>18</v>
      </c>
      <c r="D5" s="11">
        <v>1450</v>
      </c>
    </row>
    <row r="6" spans="1:4">
      <c r="A6" s="1">
        <v>5</v>
      </c>
      <c r="B6" s="9" t="s">
        <v>16</v>
      </c>
      <c r="C6" s="10" t="s">
        <v>18</v>
      </c>
      <c r="D6" s="11">
        <v>1745</v>
      </c>
    </row>
    <row r="7" spans="1:4">
      <c r="A7" s="1">
        <v>6</v>
      </c>
      <c r="B7" s="9" t="s">
        <v>16</v>
      </c>
      <c r="C7" s="10" t="s">
        <v>18</v>
      </c>
      <c r="D7" s="11">
        <v>1690</v>
      </c>
    </row>
    <row r="8" spans="1:4">
      <c r="A8" s="1">
        <v>7</v>
      </c>
      <c r="B8" s="9" t="s">
        <v>19</v>
      </c>
      <c r="C8" s="10" t="s">
        <v>17</v>
      </c>
      <c r="D8" s="11">
        <v>1566</v>
      </c>
    </row>
    <row r="9" spans="1:4">
      <c r="A9" s="1">
        <v>8</v>
      </c>
      <c r="B9" s="9" t="s">
        <v>19</v>
      </c>
      <c r="C9" s="10" t="s">
        <v>17</v>
      </c>
      <c r="D9" s="11">
        <v>1981</v>
      </c>
    </row>
    <row r="10" spans="1:4">
      <c r="A10" s="1">
        <v>9</v>
      </c>
      <c r="B10" s="9" t="s">
        <v>19</v>
      </c>
      <c r="C10" s="10" t="s">
        <v>17</v>
      </c>
      <c r="D10" s="11">
        <v>1476</v>
      </c>
    </row>
    <row r="11" spans="1:4">
      <c r="A11" s="1">
        <v>10</v>
      </c>
      <c r="B11" s="9" t="s">
        <v>19</v>
      </c>
      <c r="C11" s="10" t="s">
        <v>18</v>
      </c>
      <c r="D11" s="11">
        <v>1101</v>
      </c>
    </row>
    <row r="12" spans="1:4">
      <c r="A12" s="1">
        <v>11</v>
      </c>
      <c r="B12" s="9" t="s">
        <v>19</v>
      </c>
      <c r="C12" s="10" t="s">
        <v>18</v>
      </c>
      <c r="D12" s="11">
        <v>981</v>
      </c>
    </row>
    <row r="13" spans="1:4">
      <c r="A13" s="1">
        <v>12</v>
      </c>
      <c r="B13" s="9" t="s">
        <v>19</v>
      </c>
      <c r="C13" s="10" t="s">
        <v>18</v>
      </c>
      <c r="D13" s="11">
        <v>878</v>
      </c>
    </row>
    <row r="14" spans="1:4">
      <c r="A14" s="1">
        <v>13</v>
      </c>
      <c r="B14" s="9" t="s">
        <v>20</v>
      </c>
      <c r="C14" s="10" t="s">
        <v>17</v>
      </c>
      <c r="D14" s="11">
        <v>1459</v>
      </c>
    </row>
    <row r="15" spans="1:4">
      <c r="A15" s="1">
        <v>14</v>
      </c>
      <c r="B15" s="9" t="s">
        <v>20</v>
      </c>
      <c r="C15" s="10" t="s">
        <v>17</v>
      </c>
      <c r="D15" s="11">
        <v>1678</v>
      </c>
    </row>
    <row r="16" spans="1:4">
      <c r="A16" s="1">
        <v>15</v>
      </c>
      <c r="B16" s="9" t="s">
        <v>20</v>
      </c>
      <c r="C16" s="10" t="s">
        <v>17</v>
      </c>
      <c r="D16" s="11">
        <v>1356</v>
      </c>
    </row>
    <row r="17" spans="1:4">
      <c r="A17" s="1">
        <v>16</v>
      </c>
      <c r="B17" s="9" t="s">
        <v>20</v>
      </c>
      <c r="C17" s="10" t="s">
        <v>18</v>
      </c>
      <c r="D17" s="11">
        <v>1893</v>
      </c>
    </row>
    <row r="18" spans="1:4">
      <c r="A18" s="1">
        <v>17</v>
      </c>
      <c r="B18" s="9" t="s">
        <v>20</v>
      </c>
      <c r="C18" s="10" t="s">
        <v>18</v>
      </c>
      <c r="D18" s="11">
        <v>1652</v>
      </c>
    </row>
    <row r="19" spans="1:4">
      <c r="A19" s="2">
        <v>18</v>
      </c>
      <c r="B19" s="12" t="s">
        <v>20</v>
      </c>
      <c r="C19" s="13" t="s">
        <v>18</v>
      </c>
      <c r="D19" s="14">
        <v>1462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>
      <selection activeCell="C17" sqref="C17"/>
    </sheetView>
  </sheetViews>
  <sheetFormatPr defaultColWidth="8.77734375" defaultRowHeight="14.4"/>
  <cols>
    <col min="1" max="1" width="17.6640625" bestFit="1" customWidth="1"/>
    <col min="2" max="4" width="9.77734375" customWidth="1"/>
  </cols>
  <sheetData>
    <row r="1" spans="1:4">
      <c r="A1" s="6"/>
      <c r="B1" s="20"/>
      <c r="C1" s="20" t="s">
        <v>21</v>
      </c>
      <c r="D1" s="21"/>
    </row>
    <row r="2" spans="1:4">
      <c r="A2" s="22" t="s">
        <v>22</v>
      </c>
      <c r="B2" s="26" t="s">
        <v>27</v>
      </c>
      <c r="C2" s="26" t="s">
        <v>23</v>
      </c>
      <c r="D2" s="27" t="s">
        <v>24</v>
      </c>
    </row>
    <row r="3" spans="1:4">
      <c r="A3" s="23" t="s">
        <v>25</v>
      </c>
      <c r="B3" s="6">
        <v>6</v>
      </c>
      <c r="C3" s="7">
        <v>4</v>
      </c>
      <c r="D3" s="8">
        <v>7</v>
      </c>
    </row>
    <row r="4" spans="1:4">
      <c r="A4" s="24"/>
      <c r="B4" s="9">
        <v>5</v>
      </c>
      <c r="C4" s="10">
        <v>5</v>
      </c>
      <c r="D4" s="11">
        <v>6</v>
      </c>
    </row>
    <row r="5" spans="1:4">
      <c r="A5" s="24"/>
      <c r="B5" s="9">
        <v>5</v>
      </c>
      <c r="C5" s="10">
        <v>6</v>
      </c>
      <c r="D5" s="11">
        <v>10</v>
      </c>
    </row>
    <row r="6" spans="1:4">
      <c r="A6" s="24"/>
      <c r="B6" s="9">
        <v>2</v>
      </c>
      <c r="C6" s="10">
        <v>9</v>
      </c>
      <c r="D6" s="11">
        <v>8</v>
      </c>
    </row>
    <row r="7" spans="1:4">
      <c r="A7" s="25"/>
      <c r="B7" s="12">
        <v>4</v>
      </c>
      <c r="C7" s="13">
        <v>8</v>
      </c>
      <c r="D7" s="14">
        <v>9</v>
      </c>
    </row>
    <row r="8" spans="1:4">
      <c r="A8" s="23" t="s">
        <v>26</v>
      </c>
      <c r="B8" s="6">
        <v>1</v>
      </c>
      <c r="C8" s="7">
        <v>4</v>
      </c>
      <c r="D8" s="8">
        <v>6</v>
      </c>
    </row>
    <row r="9" spans="1:4">
      <c r="A9" s="24"/>
      <c r="B9" s="9">
        <v>3</v>
      </c>
      <c r="C9" s="10">
        <v>5</v>
      </c>
      <c r="D9" s="11">
        <v>8</v>
      </c>
    </row>
    <row r="10" spans="1:4">
      <c r="A10" s="24"/>
      <c r="B10" s="9">
        <v>2</v>
      </c>
      <c r="C10" s="10">
        <v>6</v>
      </c>
      <c r="D10" s="11">
        <v>4</v>
      </c>
    </row>
    <row r="11" spans="1:4">
      <c r="A11" s="24"/>
      <c r="B11" s="9">
        <v>1</v>
      </c>
      <c r="C11" s="10">
        <v>7</v>
      </c>
      <c r="D11" s="11">
        <v>7</v>
      </c>
    </row>
    <row r="12" spans="1:4">
      <c r="A12" s="25"/>
      <c r="B12" s="12">
        <v>2</v>
      </c>
      <c r="C12" s="13">
        <v>3</v>
      </c>
      <c r="D12" s="1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 2</vt:lpstr>
      <vt:lpstr>Ex 3</vt:lpstr>
      <vt:lpstr>Ex 4</vt:lpstr>
      <vt:lpstr>Ex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Olmas Isakov</dc:creator>
  <cp:lastModifiedBy>Пользователь</cp:lastModifiedBy>
  <dcterms:created xsi:type="dcterms:W3CDTF">2019-01-23T08:29:09Z</dcterms:created>
  <dcterms:modified xsi:type="dcterms:W3CDTF">2020-03-12T19:39:36Z</dcterms:modified>
</cp:coreProperties>
</file>