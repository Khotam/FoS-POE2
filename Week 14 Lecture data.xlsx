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webextensions/webextension1.xml" ContentType="application/vnd.ms-office.webextensi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FoS-POE-2\FoS-POE2\"/>
    </mc:Choice>
  </mc:AlternateContent>
  <xr:revisionPtr revIDLastSave="0" documentId="13_ncr:1_{B166638E-C1F1-4F07-9BBA-BFCFD8DD2036}" xr6:coauthVersionLast="45" xr6:coauthVersionMax="45" xr10:uidLastSave="{00000000-0000-0000-0000-000000000000}"/>
  <bookViews>
    <workbookView xWindow="-108" yWindow="-108" windowWidth="23256" windowHeight="12576" activeTab="2" xr2:uid="{00000000-000D-0000-FFFF-FFFF00000000}"/>
  </bookViews>
  <sheets>
    <sheet name="Unemployment" sheetId="1" r:id="rId1"/>
    <sheet name="Sales" sheetId="2" r:id="rId2"/>
    <sheet name="Sheet1" sheetId="6" r:id="rId3"/>
    <sheet name="Export" sheetId="4" r:id="rId4"/>
    <sheet name="Marks" sheetId="5" r:id="rId5"/>
  </sheets>
  <calcPr calcId="191029"/>
  <pivotCaches>
    <pivotCache cacheId="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01" i="2" l="1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<sst xmlns="http://schemas.openxmlformats.org/spreadsheetml/2006/main" count="1056" uniqueCount="272">
  <si>
    <t>Navoiy</t>
  </si>
  <si>
    <t>Namangan</t>
  </si>
  <si>
    <t>Republic of Karakalpakstan</t>
  </si>
  <si>
    <t>Andijan</t>
  </si>
  <si>
    <t>Bukhara</t>
  </si>
  <si>
    <t>Jizzakh</t>
  </si>
  <si>
    <t>Kashkadarya</t>
  </si>
  <si>
    <t>Samarkand</t>
  </si>
  <si>
    <t>Sirdarya</t>
  </si>
  <si>
    <t>Tashkent</t>
  </si>
  <si>
    <t>Fergana</t>
  </si>
  <si>
    <t>Khorezm</t>
  </si>
  <si>
    <t>Tashkent city</t>
  </si>
  <si>
    <t>Unemployment rates in Uzbekistan, %</t>
  </si>
  <si>
    <t>Surkhandarya</t>
  </si>
  <si>
    <t>Order ID</t>
  </si>
  <si>
    <t>Date</t>
  </si>
  <si>
    <t>Year</t>
  </si>
  <si>
    <t>Customer Name</t>
  </si>
  <si>
    <t>Salesperson</t>
  </si>
  <si>
    <t>Region</t>
  </si>
  <si>
    <t>Item</t>
  </si>
  <si>
    <t>Price</t>
  </si>
  <si>
    <t>Quantity</t>
  </si>
  <si>
    <t>Revenue</t>
  </si>
  <si>
    <t>00001</t>
  </si>
  <si>
    <t>Hamkorbank</t>
  </si>
  <si>
    <t>Anvar Abdullaev</t>
  </si>
  <si>
    <t>Desktop</t>
  </si>
  <si>
    <t>00002</t>
  </si>
  <si>
    <t>Kvarts</t>
  </si>
  <si>
    <t>Asqar Akaev</t>
  </si>
  <si>
    <t>00003</t>
  </si>
  <si>
    <t>Navoi Azot</t>
  </si>
  <si>
    <t>00004</t>
  </si>
  <si>
    <t>Artel</t>
  </si>
  <si>
    <t>Sanjar Ahmedov</t>
  </si>
  <si>
    <t>00005</t>
  </si>
  <si>
    <t>00006</t>
  </si>
  <si>
    <t>00007</t>
  </si>
  <si>
    <t>NBU</t>
  </si>
  <si>
    <t>Laptop</t>
  </si>
  <si>
    <t>00008</t>
  </si>
  <si>
    <t>00009</t>
  </si>
  <si>
    <t>Ucell</t>
  </si>
  <si>
    <t>00010</t>
  </si>
  <si>
    <t>00011</t>
  </si>
  <si>
    <t>Akfa</t>
  </si>
  <si>
    <t>00012</t>
  </si>
  <si>
    <t>00013</t>
  </si>
  <si>
    <t>Book</t>
  </si>
  <si>
    <t>00014</t>
  </si>
  <si>
    <t>00015</t>
  </si>
  <si>
    <t>00016</t>
  </si>
  <si>
    <t>00017</t>
  </si>
  <si>
    <t>00018</t>
  </si>
  <si>
    <t>00019</t>
  </si>
  <si>
    <t>00020</t>
  </si>
  <si>
    <t>Marker</t>
  </si>
  <si>
    <t>00021</t>
  </si>
  <si>
    <t>00022</t>
  </si>
  <si>
    <t>Feruza Usmanova</t>
  </si>
  <si>
    <t>00023</t>
  </si>
  <si>
    <t>00024</t>
  </si>
  <si>
    <t>00025</t>
  </si>
  <si>
    <t>00026</t>
  </si>
  <si>
    <t>00027</t>
  </si>
  <si>
    <t>Paper</t>
  </si>
  <si>
    <t>00028</t>
  </si>
  <si>
    <t>00029</t>
  </si>
  <si>
    <t>00030</t>
  </si>
  <si>
    <t>00031</t>
  </si>
  <si>
    <t>Ferghana</t>
  </si>
  <si>
    <t>00032</t>
  </si>
  <si>
    <t>00033</t>
  </si>
  <si>
    <t>00034</t>
  </si>
  <si>
    <t>Iroda To'laganova</t>
  </si>
  <si>
    <t>00035</t>
  </si>
  <si>
    <t>00036</t>
  </si>
  <si>
    <t>Cartridge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</si>
  <si>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</si>
  <si>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</si>
  <si>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</si>
  <si>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</si>
  <si>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</si>
  <si>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</si>
  <si>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</si>
  <si>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</si>
  <si>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</si>
  <si>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</si>
  <si>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</si>
  <si>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Smartphone</t>
  </si>
  <si>
    <t>00048</t>
  </si>
  <si>
    <t>00049</t>
  </si>
  <si>
    <t>00050</t>
  </si>
  <si>
    <t>00051</t>
  </si>
  <si>
    <t>00052</t>
  </si>
  <si>
    <t>Odil Ahmedov</t>
  </si>
  <si>
    <t>00053</t>
  </si>
  <si>
    <t>Printer</t>
  </si>
  <si>
    <t>00054</t>
  </si>
  <si>
    <t>Scanner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</si>
  <si>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</si>
  <si>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</si>
  <si>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</si>
  <si>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</si>
  <si>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</si>
  <si>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</si>
  <si>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</si>
  <si>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</si>
  <si>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</si>
  <si>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</si>
  <si>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</si>
  <si>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</si>
  <si>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Copier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</si>
  <si>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</si>
  <si>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</si>
  <si>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</si>
  <si>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</si>
  <si>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</si>
  <si>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</si>
  <si>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</si>
  <si>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</si>
  <si>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</si>
  <si>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</si>
  <si>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</si>
  <si>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</si>
  <si>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</si>
  <si>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</si>
  <si>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</si>
  <si>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</si>
  <si>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</si>
  <si>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</si>
  <si>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</si>
  <si>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Irina Askarova</t>
  </si>
  <si>
    <t>00086</t>
  </si>
  <si>
    <t>Muhayyo Isaeva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</si>
  <si>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</si>
  <si>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</si>
  <si>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</si>
  <si>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</si>
  <si>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</si>
  <si>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</si>
  <si>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</si>
  <si>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</si>
  <si>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</si>
  <si>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</si>
  <si>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</si>
  <si>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</si>
  <si>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</si>
  <si>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</si>
  <si>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</si>
  <si>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</si>
  <si>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</si>
  <si>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</si>
  <si>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</si>
  <si>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</si>
  <si>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</si>
  <si>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</si>
  <si>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</si>
  <si>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</si>
  <si>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</si>
  <si>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</si>
  <si>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</si>
  <si>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</si>
  <si>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</si>
  <si>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</si>
  <si>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</si>
  <si>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</si>
  <si>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</si>
  <si>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</si>
  <si>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</si>
  <si>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</si>
  <si>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</si>
  <si>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</si>
  <si>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</si>
  <si>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</si>
  <si>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</si>
  <si>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</si>
  <si>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</si>
  <si>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</si>
  <si>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</si>
  <si>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</si>
  <si>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</si>
  <si>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</si>
  <si>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</si>
  <si>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</si>
  <si>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</si>
  <si>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</si>
  <si>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</si>
  <si>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</si>
  <si>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</si>
  <si>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</si>
  <si>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</si>
  <si>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</si>
  <si>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</si>
  <si>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</si>
  <si>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</si>
  <si>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</si>
  <si>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</si>
  <si>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</si>
  <si>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</si>
  <si>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</si>
  <si>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</si>
  <si>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</si>
  <si>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</si>
  <si>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</si>
  <si>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</si>
  <si>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</si>
  <si>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</si>
  <si>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Navoi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</si>
  <si>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</si>
  <si>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</si>
  <si>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</si>
  <si>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</si>
  <si>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</si>
  <si>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</si>
  <si>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</si>
  <si>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</si>
  <si>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</si>
  <si>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</si>
  <si>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</si>
  <si>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</si>
  <si>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</si>
  <si>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</si>
  <si>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</si>
  <si>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</si>
  <si>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</si>
  <si>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</si>
  <si>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</si>
  <si>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</si>
  <si>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</si>
  <si>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</si>
  <si>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</si>
  <si>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</si>
  <si>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</si>
  <si>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</si>
  <si>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</si>
  <si>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</si>
  <si>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</si>
  <si>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</si>
  <si>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</si>
  <si>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</si>
  <si>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</si>
  <si>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</si>
  <si>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</si>
  <si>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</si>
  <si>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</si>
  <si>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</si>
  <si>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</si>
  <si>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</si>
  <si>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</si>
  <si>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Top 10 Export countries of Uzbekistan in 2018 (Source: stat.uz)</t>
  </si>
  <si>
    <t>Export ($000s)</t>
  </si>
  <si>
    <t>China</t>
  </si>
  <si>
    <t>Russia</t>
  </si>
  <si>
    <t>Kazakhstan</t>
  </si>
  <si>
    <t>Turkey</t>
  </si>
  <si>
    <t>Afghanistan</t>
  </si>
  <si>
    <t>Kyrgyzstan</t>
  </si>
  <si>
    <t>France</t>
  </si>
  <si>
    <t>Iran</t>
  </si>
  <si>
    <t>Tajikistan</t>
  </si>
  <si>
    <t>United Kingdom</t>
  </si>
  <si>
    <t>POE 1</t>
  </si>
  <si>
    <t xml:space="preserve">Midterm </t>
  </si>
  <si>
    <t>This data can be used to plot scatterplot, histogram.</t>
  </si>
  <si>
    <t>This data can be used to plot line graph, bar (column) chart</t>
  </si>
  <si>
    <t>Column Labels</t>
  </si>
  <si>
    <t>Grand Total</t>
  </si>
  <si>
    <t>Row Labels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</si>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</sst>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[$$-409]#,##0"/>
    <numFmt numFmtId="166" formatCode="m/d/yy;@"/>
    <numFmt numFmtId="167" formatCode="#,##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indexed="8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9">
    <xf numFmtId="0" fontId="0" fillId="0" borderId="0" xfId="0"/>
    <xf numFmtId="0" fontId="0" fillId="0" borderId="1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0" fillId="0" borderId="2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5" fillId="0" borderId="0" xfId="0" applyFont="1"/>
    <xf numFmtId="49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0" fontId="5" fillId="0" borderId="0" xfId="0" applyNumberFormat="1" applyFont="1"/>
    <xf numFmtId="0" fontId="6" fillId="0" borderId="0" xfId="0" applyFont="1" applyAlignment="1">
      <alignment horizontal="center"/>
    </xf>
    <xf numFmtId="49" fontId="5" fillId="0" borderId="0" xfId="0" applyNumberFormat="1" applyFont="1"/>
    <xf numFmtId="1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67" fontId="7" fillId="0" borderId="0" xfId="0" applyNumberFormat="1" applyFont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Border="1"/>
    <xf numFmtId="0" fontId="8" fillId="0" borderId="0" xfId="0" applyFont="1"/>
    <xf numFmtId="0" fontId="3" fillId="0" borderId="3" xfId="0" applyFont="1" applyBorder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49" fontId="0" fillId="0" borderId="0" xfId="0" applyNumberFormat="1"/>
    <xf numFmtId="0" fontId="0" fillId="0" borderId="0" xfId="0" applyAlignment="1">
      <alignment horizontal="left"/>
    </xf>
  </cellXfs>
  <cellStyles count="3">
    <cellStyle name="Normal" xfId="0" builtinId="0"/>
    <cellStyle name="Normal 2" xfId="1" xr:uid="{00000000-0005-0000-0000-000001000000}"/>
    <cellStyle name="Обычный 2" xfId="2" xr:uid="{00000000-0005-0000-0000-000002000000}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14 Lecture data.xlsx]Sheet1!PivotTable1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Sheet1!$B$1:$B$2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Sheet1!$A$3:$A$13</c:f>
              <c:strCache>
                <c:ptCount val="10"/>
                <c:pt idx="0">
                  <c:v>Andijan</c:v>
                </c:pt>
                <c:pt idx="1">
                  <c:v>Bukhara</c:v>
                </c:pt>
                <c:pt idx="2">
                  <c:v>Ferghana</c:v>
                </c:pt>
                <c:pt idx="3">
                  <c:v>Kashkadarya</c:v>
                </c:pt>
                <c:pt idx="4">
                  <c:v>Khorezm</c:v>
                </c:pt>
                <c:pt idx="5">
                  <c:v>Namangan</c:v>
                </c:pt>
                <c:pt idx="6">
                  <c:v>Navoi</c:v>
                </c:pt>
                <c:pt idx="7">
                  <c:v>Samarkand</c:v>
                </c:pt>
                <c:pt idx="8">
                  <c:v>Sirdarya</c:v>
                </c:pt>
                <c:pt idx="9">
                  <c:v>Tashkent</c:v>
                </c:pt>
              </c:strCache>
            </c:strRef>
          </c:cat>
          <c:val>
            <c:numRef>
              <c:f>Sheet1!$B$3:$B$13</c:f>
              <c:numCache>
                <c:formatCode>General</c:formatCode>
                <c:ptCount val="10"/>
                <c:pt idx="0">
                  <c:v>11875</c:v>
                </c:pt>
                <c:pt idx="1">
                  <c:v>50263</c:v>
                </c:pt>
                <c:pt idx="2">
                  <c:v>2545</c:v>
                </c:pt>
                <c:pt idx="3">
                  <c:v>13506</c:v>
                </c:pt>
                <c:pt idx="4">
                  <c:v>3044</c:v>
                </c:pt>
                <c:pt idx="5">
                  <c:v>8478</c:v>
                </c:pt>
                <c:pt idx="7">
                  <c:v>63144</c:v>
                </c:pt>
                <c:pt idx="9">
                  <c:v>36624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A-4801-9ABC-C2744F821D84}"/>
            </c:ext>
          </c:extLst>
        </c:ser>
        <c:ser>
          <c:idx val="1"/>
          <c:order val="1"/>
          <c:tx>
            <c:strRef>
              <c:f>Sheet1!$C$1:$C$2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Sheet1!$A$3:$A$13</c:f>
              <c:strCache>
                <c:ptCount val="10"/>
                <c:pt idx="0">
                  <c:v>Andijan</c:v>
                </c:pt>
                <c:pt idx="1">
                  <c:v>Bukhara</c:v>
                </c:pt>
                <c:pt idx="2">
                  <c:v>Ferghana</c:v>
                </c:pt>
                <c:pt idx="3">
                  <c:v>Kashkadarya</c:v>
                </c:pt>
                <c:pt idx="4">
                  <c:v>Khorezm</c:v>
                </c:pt>
                <c:pt idx="5">
                  <c:v>Namangan</c:v>
                </c:pt>
                <c:pt idx="6">
                  <c:v>Navoi</c:v>
                </c:pt>
                <c:pt idx="7">
                  <c:v>Samarkand</c:v>
                </c:pt>
                <c:pt idx="8">
                  <c:v>Sirdarya</c:v>
                </c:pt>
                <c:pt idx="9">
                  <c:v>Tashkent</c:v>
                </c:pt>
              </c:strCache>
            </c:strRef>
          </c:cat>
          <c:val>
            <c:numRef>
              <c:f>Sheet1!$C$3:$C$13</c:f>
              <c:numCache>
                <c:formatCode>General</c:formatCode>
                <c:ptCount val="10"/>
                <c:pt idx="5">
                  <c:v>34169</c:v>
                </c:pt>
                <c:pt idx="6">
                  <c:v>87243</c:v>
                </c:pt>
                <c:pt idx="8">
                  <c:v>135636</c:v>
                </c:pt>
                <c:pt idx="9">
                  <c:v>36097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FA-4801-9ABC-C2744F821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2021343"/>
        <c:axId val="677754943"/>
      </c:barChart>
      <c:catAx>
        <c:axId val="100202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7754943"/>
        <c:crosses val="autoZero"/>
        <c:auto val="1"/>
        <c:lblAlgn val="ctr"/>
        <c:lblOffset val="100"/>
        <c:noMultiLvlLbl val="0"/>
      </c:catAx>
      <c:valAx>
        <c:axId val="67775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202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632460</xdr:colOff>
      <xdr:row>4</xdr:row>
      <xdr:rowOff>34290</xdr:rowOff>
    </xdr:from>
    <xdr:to>
      <xdr:col>11</xdr:col>
      <xdr:colOff>487680</xdr:colOff>
      <xdr:row>19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04E6F7-AAE1-49AC-AD95-E8BF4491B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129540</xdr:colOff>
      <xdr:row>1</xdr:row>
      <xdr:rowOff>121920</xdr:rowOff>
    </xdr:from>
    <xdr:to>
      <xdr:col>18</xdr:col>
      <xdr:colOff>281940</xdr:colOff>
      <xdr:row>27</xdr:row>
      <xdr:rowOff>68580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Geographic Heat Map">
              <a:extLst>
                <a:ext uri="{FF2B5EF4-FFF2-40B4-BE49-F238E27FC236}">
                  <a16:creationId xmlns:a16="http://schemas.microsoft.com/office/drawing/2014/main" id="{E2A11737-CC00-4F56-B86D-852E7585F154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Geographic Heat Map">
              <a:extLst>
                <a:ext uri="{FF2B5EF4-FFF2-40B4-BE49-F238E27FC236}">
                  <a16:creationId xmlns:a16="http://schemas.microsoft.com/office/drawing/2014/main" id="{E2A11737-CC00-4F56-B86D-852E7585F15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3902.675220486111" createdVersion="6" refreshedVersion="6" minRefreshableVersion="3" recordCount="200" xr:uid="{90F65915-5B97-4189-92B0-9053A8FCF377}">
  <cacheSource type="worksheet">
    <worksheetSource ref="A1:J201" sheet="Sales"/>
  </cacheSource>
  <cacheFields count="10">
    <cacheField name="Order ID" numFmtId="49">
      <sharedItems/>
    </cacheField>
    <cacheField name="Date" numFmtId="166">
      <sharedItems containsSemiMixedTypes="0" containsNonDate="0" containsDate="1" containsString="0" minDate="2018-01-01T00:00:00" maxDate="2019-12-28T00:00:00"/>
    </cacheField>
    <cacheField name="Year" numFmtId="49">
      <sharedItems containsSemiMixedTypes="0" containsString="0" containsNumber="1" containsInteger="1" minValue="2018" maxValue="2019" count="2">
        <n v="2018"/>
        <n v="2019"/>
      </sharedItems>
    </cacheField>
    <cacheField name="Customer Name" numFmtId="0">
      <sharedItems/>
    </cacheField>
    <cacheField name="Salesperson" numFmtId="0">
      <sharedItems/>
    </cacheField>
    <cacheField name="Region" numFmtId="0">
      <sharedItems count="10">
        <s v="Samarkand"/>
        <s v="Tashkent"/>
        <s v="Bukhara"/>
        <s v="Khorezm"/>
        <s v="Andijan"/>
        <s v="Ferghana"/>
        <s v="Namangan"/>
        <s v="Kashkadarya"/>
        <s v="Sirdarya"/>
        <s v="Navoi"/>
      </sharedItems>
    </cacheField>
    <cacheField name="Item" numFmtId="0">
      <sharedItems/>
    </cacheField>
    <cacheField name="Price" numFmtId="165">
      <sharedItems containsSemiMixedTypes="0" containsString="0" containsNumber="1" minValue="0.5" maxValue="1489"/>
    </cacheField>
    <cacheField name="Quantity" numFmtId="1">
      <sharedItems containsSemiMixedTypes="0" containsString="0" containsNumber="1" containsInteger="1" minValue="1" maxValue="230"/>
    </cacheField>
    <cacheField name="Revenue" numFmtId="165">
      <sharedItems containsSemiMixedTypes="0" containsString="0" containsNumber="1" minValue="28" maxValue="167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00001"/>
    <d v="2018-01-01T00:00:00"/>
    <x v="0"/>
    <s v="Hamkorbank"/>
    <s v="Anvar Abdullaev"/>
    <x v="0"/>
    <s v="Desktop"/>
    <n v="300"/>
    <n v="1"/>
    <n v="300"/>
  </r>
  <r>
    <s v="00002"/>
    <d v="2018-01-03T00:00:00"/>
    <x v="0"/>
    <s v="Kvarts"/>
    <s v="Asqar Akaev"/>
    <x v="1"/>
    <s v="Desktop"/>
    <n v="400"/>
    <n v="4"/>
    <n v="1600"/>
  </r>
  <r>
    <s v="00003"/>
    <d v="2018-01-07T00:00:00"/>
    <x v="0"/>
    <s v="Navoi Azot"/>
    <s v="Asqar Akaev"/>
    <x v="1"/>
    <s v="Desktop"/>
    <n v="400"/>
    <n v="5"/>
    <n v="2000"/>
  </r>
  <r>
    <s v="00004"/>
    <d v="2018-01-08T00:00:00"/>
    <x v="0"/>
    <s v="Artel"/>
    <s v="Sanjar Ahmedov"/>
    <x v="1"/>
    <s v="Desktop"/>
    <n v="400"/>
    <n v="3"/>
    <n v="1200"/>
  </r>
  <r>
    <s v="00005"/>
    <d v="2018-01-14T00:00:00"/>
    <x v="0"/>
    <s v="Navoi Azot"/>
    <s v="Sanjar Ahmedov"/>
    <x v="1"/>
    <s v="Desktop"/>
    <n v="400"/>
    <n v="1"/>
    <n v="400"/>
  </r>
  <r>
    <s v="00006"/>
    <d v="2018-01-17T00:00:00"/>
    <x v="0"/>
    <s v="Navoi Azot"/>
    <s v="Anvar Abdullaev"/>
    <x v="1"/>
    <s v="Desktop"/>
    <n v="400"/>
    <n v="4"/>
    <n v="1600"/>
  </r>
  <r>
    <s v="00007"/>
    <d v="2018-01-19T00:00:00"/>
    <x v="0"/>
    <s v="NBU"/>
    <s v="Asqar Akaev"/>
    <x v="1"/>
    <s v="Laptop"/>
    <n v="800"/>
    <n v="5"/>
    <n v="4000"/>
  </r>
  <r>
    <s v="00008"/>
    <d v="2018-01-22T00:00:00"/>
    <x v="0"/>
    <s v="Navoi Azot"/>
    <s v="Asqar Akaev"/>
    <x v="0"/>
    <s v="Laptop"/>
    <n v="1189"/>
    <n v="3"/>
    <n v="3567"/>
  </r>
  <r>
    <s v="00009"/>
    <d v="2018-01-24T00:00:00"/>
    <x v="0"/>
    <s v="Ucell"/>
    <s v="Asqar Akaev"/>
    <x v="0"/>
    <s v="Laptop"/>
    <n v="992"/>
    <n v="3"/>
    <n v="2976"/>
  </r>
  <r>
    <s v="00010"/>
    <d v="2018-01-24T00:00:00"/>
    <x v="0"/>
    <s v="NBU"/>
    <s v="Asqar Akaev"/>
    <x v="0"/>
    <s v="Laptop"/>
    <n v="811"/>
    <n v="8"/>
    <n v="6488"/>
  </r>
  <r>
    <s v="00011"/>
    <d v="2018-01-26T00:00:00"/>
    <x v="0"/>
    <s v="Akfa"/>
    <s v="Anvar Abdullaev"/>
    <x v="0"/>
    <s v="Laptop"/>
    <n v="966"/>
    <n v="15"/>
    <n v="14490"/>
  </r>
  <r>
    <s v="00012"/>
    <d v="2018-01-27T00:00:00"/>
    <x v="0"/>
    <s v="NBU"/>
    <s v="Asqar Akaev"/>
    <x v="0"/>
    <s v="Laptop"/>
    <n v="1106"/>
    <n v="8"/>
    <n v="8848"/>
  </r>
  <r>
    <s v="00013"/>
    <d v="2018-01-28T00:00:00"/>
    <x v="0"/>
    <s v="Akfa"/>
    <s v="Asqar Akaev"/>
    <x v="2"/>
    <s v="Book"/>
    <n v="10"/>
    <n v="56"/>
    <n v="560"/>
  </r>
  <r>
    <s v="00014"/>
    <d v="2018-01-30T00:00:00"/>
    <x v="0"/>
    <s v="NBU"/>
    <s v="Anvar Abdullaev"/>
    <x v="2"/>
    <s v="Book"/>
    <n v="46"/>
    <n v="52"/>
    <n v="2392"/>
  </r>
  <r>
    <s v="00015"/>
    <d v="2018-02-03T00:00:00"/>
    <x v="0"/>
    <s v="Navoi Azot"/>
    <s v="Asqar Akaev"/>
    <x v="2"/>
    <s v="Book"/>
    <n v="26"/>
    <n v="20"/>
    <n v="520"/>
  </r>
  <r>
    <s v="00016"/>
    <d v="2018-02-07T00:00:00"/>
    <x v="0"/>
    <s v="Akfa"/>
    <s v="Anvar Abdullaev"/>
    <x v="2"/>
    <s v="Book"/>
    <n v="11"/>
    <n v="80"/>
    <n v="880"/>
  </r>
  <r>
    <s v="00017"/>
    <d v="2018-02-09T00:00:00"/>
    <x v="0"/>
    <s v="Ucell"/>
    <s v="Anvar Abdullaev"/>
    <x v="2"/>
    <s v="Book"/>
    <n v="35"/>
    <n v="44"/>
    <n v="1540"/>
  </r>
  <r>
    <s v="00018"/>
    <d v="2018-02-18T00:00:00"/>
    <x v="0"/>
    <s v="Artel"/>
    <s v="Anvar Abdullaev"/>
    <x v="3"/>
    <s v="Book"/>
    <n v="21"/>
    <n v="58"/>
    <n v="1218"/>
  </r>
  <r>
    <s v="00019"/>
    <d v="2018-02-18T00:00:00"/>
    <x v="0"/>
    <s v="Ucell"/>
    <s v="Anvar Abdullaev"/>
    <x v="3"/>
    <s v="Book"/>
    <n v="25"/>
    <n v="58"/>
    <n v="1450"/>
  </r>
  <r>
    <s v="00020"/>
    <d v="2018-03-03T00:00:00"/>
    <x v="0"/>
    <s v="Akfa"/>
    <s v="Anvar Abdullaev"/>
    <x v="3"/>
    <s v="Marker"/>
    <n v="0.5"/>
    <n v="135"/>
    <n v="67.5"/>
  </r>
  <r>
    <s v="00021"/>
    <d v="2018-03-06T00:00:00"/>
    <x v="0"/>
    <s v="NBU"/>
    <s v="Anvar Abdullaev"/>
    <x v="3"/>
    <s v="Marker"/>
    <n v="0.5"/>
    <n v="56"/>
    <n v="28"/>
  </r>
  <r>
    <s v="00022"/>
    <d v="2018-03-15T00:00:00"/>
    <x v="0"/>
    <s v="Akfa"/>
    <s v="Feruza Usmanova"/>
    <x v="3"/>
    <s v="Marker"/>
    <n v="0.5"/>
    <n v="214"/>
    <n v="107"/>
  </r>
  <r>
    <s v="00023"/>
    <d v="2018-03-17T00:00:00"/>
    <x v="0"/>
    <s v="Navoi Azot"/>
    <s v="Feruza Usmanova"/>
    <x v="3"/>
    <s v="Marker"/>
    <n v="0.5"/>
    <n v="122"/>
    <n v="61"/>
  </r>
  <r>
    <s v="00024"/>
    <d v="2018-03-19T00:00:00"/>
    <x v="0"/>
    <s v="Hamkorbank"/>
    <s v="Feruza Usmanova"/>
    <x v="3"/>
    <s v="Marker"/>
    <n v="0.5"/>
    <n v="225"/>
    <n v="112.5"/>
  </r>
  <r>
    <s v="00025"/>
    <d v="2018-03-21T00:00:00"/>
    <x v="0"/>
    <s v="Hamkorbank"/>
    <s v="Feruza Usmanova"/>
    <x v="4"/>
    <s v="Marker"/>
    <n v="0.5"/>
    <n v="230"/>
    <n v="115"/>
  </r>
  <r>
    <s v="00026"/>
    <d v="2018-03-26T00:00:00"/>
    <x v="0"/>
    <s v="NBU"/>
    <s v="Feruza Usmanova"/>
    <x v="4"/>
    <s v="Marker"/>
    <n v="0.5"/>
    <n v="152"/>
    <n v="76"/>
  </r>
  <r>
    <s v="00027"/>
    <d v="2018-03-30T00:00:00"/>
    <x v="0"/>
    <s v="Ucell"/>
    <s v="Feruza Usmanova"/>
    <x v="4"/>
    <s v="Paper"/>
    <n v="5"/>
    <n v="80"/>
    <n v="400"/>
  </r>
  <r>
    <s v="00028"/>
    <d v="2018-03-31T00:00:00"/>
    <x v="0"/>
    <s v="NBU"/>
    <s v="Feruza Usmanova"/>
    <x v="4"/>
    <s v="Paper"/>
    <n v="5"/>
    <n v="183"/>
    <n v="915"/>
  </r>
  <r>
    <s v="00029"/>
    <d v="2018-04-01T00:00:00"/>
    <x v="0"/>
    <s v="Artel"/>
    <s v="Sanjar Ahmedov"/>
    <x v="4"/>
    <s v="Paper"/>
    <n v="5"/>
    <n v="168"/>
    <n v="840"/>
  </r>
  <r>
    <s v="00030"/>
    <d v="2018-04-01T00:00:00"/>
    <x v="0"/>
    <s v="Navoi Azot"/>
    <s v="Sanjar Ahmedov"/>
    <x v="4"/>
    <s v="Paper"/>
    <n v="5"/>
    <n v="173"/>
    <n v="865"/>
  </r>
  <r>
    <s v="00031"/>
    <d v="2018-04-03T00:00:00"/>
    <x v="0"/>
    <s v="Kvarts"/>
    <s v="Sanjar Ahmedov"/>
    <x v="5"/>
    <s v="Paper"/>
    <n v="5"/>
    <n v="59"/>
    <n v="295"/>
  </r>
  <r>
    <s v="00032"/>
    <d v="2018-04-06T00:00:00"/>
    <x v="0"/>
    <s v="Navoi Azot"/>
    <s v="Sanjar Ahmedov"/>
    <x v="5"/>
    <s v="Paper"/>
    <n v="5"/>
    <n v="111"/>
    <n v="555"/>
  </r>
  <r>
    <s v="00033"/>
    <d v="2018-04-07T00:00:00"/>
    <x v="0"/>
    <s v="Navoi Azot"/>
    <s v="Sanjar Ahmedov"/>
    <x v="5"/>
    <s v="Paper"/>
    <n v="5"/>
    <n v="152"/>
    <n v="760"/>
  </r>
  <r>
    <s v="00034"/>
    <d v="2018-04-08T00:00:00"/>
    <x v="0"/>
    <s v="Akfa"/>
    <s v="Iroda To'laganova"/>
    <x v="5"/>
    <s v="Paper"/>
    <n v="5"/>
    <n v="17"/>
    <n v="85"/>
  </r>
  <r>
    <s v="00035"/>
    <d v="2018-04-12T00:00:00"/>
    <x v="0"/>
    <s v="Hamkorbank"/>
    <s v="Iroda To'laganova"/>
    <x v="5"/>
    <s v="Paper"/>
    <n v="5"/>
    <n v="130"/>
    <n v="650"/>
  </r>
  <r>
    <s v="00036"/>
    <d v="2018-04-13T00:00:00"/>
    <x v="0"/>
    <s v="Navoi Azot"/>
    <s v="Iroda To'laganova"/>
    <x v="5"/>
    <s v="Cartridge"/>
    <n v="25"/>
    <n v="2"/>
    <n v="50"/>
  </r>
  <r>
    <s v="00037"/>
    <d v="2018-04-15T00:00:00"/>
    <x v="0"/>
    <s v="Hamkorbank"/>
    <s v="Iroda To'laganova"/>
    <x v="5"/>
    <s v="Cartridge"/>
    <n v="25"/>
    <n v="2"/>
    <n v="50"/>
  </r>
  <r>
    <s v="00038"/>
    <d v="2018-04-16T00:00:00"/>
    <x v="0"/>
    <s v="Artel"/>
    <s v="Iroda To'laganova"/>
    <x v="5"/>
    <s v="Cartridge"/>
    <n v="25"/>
    <n v="4"/>
    <n v="100"/>
  </r>
  <r>
    <s v="00039"/>
    <d v="2018-04-18T00:00:00"/>
    <x v="0"/>
    <s v="Kvarts"/>
    <s v="Iroda To'laganova"/>
    <x v="6"/>
    <s v="Cartridge"/>
    <n v="25"/>
    <n v="4"/>
    <n v="100"/>
  </r>
  <r>
    <s v="00040"/>
    <d v="2018-04-18T00:00:00"/>
    <x v="0"/>
    <s v="Kvarts"/>
    <s v="Iroda To'laganova"/>
    <x v="6"/>
    <s v="Cartridge"/>
    <n v="25"/>
    <n v="4"/>
    <n v="100"/>
  </r>
  <r>
    <s v="00041"/>
    <d v="2018-04-23T00:00:00"/>
    <x v="0"/>
    <s v="NBU"/>
    <s v="Anvar Abdullaev"/>
    <x v="6"/>
    <s v="Cartridge"/>
    <n v="25"/>
    <n v="6"/>
    <n v="150"/>
  </r>
  <r>
    <s v="00042"/>
    <d v="2018-05-02T00:00:00"/>
    <x v="0"/>
    <s v="Navoi Azot"/>
    <s v="Iroda To'laganova"/>
    <x v="6"/>
    <s v="Cartridge"/>
    <n v="25"/>
    <n v="3"/>
    <n v="75"/>
  </r>
  <r>
    <s v="00043"/>
    <d v="2018-05-08T00:00:00"/>
    <x v="0"/>
    <s v="Ucell"/>
    <s v="Anvar Abdullaev"/>
    <x v="6"/>
    <s v="Cartridge"/>
    <n v="25"/>
    <n v="6"/>
    <n v="150"/>
  </r>
  <r>
    <s v="00044"/>
    <d v="2018-05-29T00:00:00"/>
    <x v="0"/>
    <s v="Artel"/>
    <s v="Anvar Abdullaev"/>
    <x v="6"/>
    <s v="Cartridge"/>
    <n v="25"/>
    <n v="7"/>
    <n v="175"/>
  </r>
  <r>
    <s v="00045"/>
    <d v="2018-06-03T00:00:00"/>
    <x v="0"/>
    <s v="Akfa"/>
    <s v="Anvar Abdullaev"/>
    <x v="6"/>
    <s v="Cartridge"/>
    <n v="25"/>
    <n v="10"/>
    <n v="250"/>
  </r>
  <r>
    <s v="00046"/>
    <d v="2018-06-05T00:00:00"/>
    <x v="0"/>
    <s v="Akfa"/>
    <s v="Iroda To'laganova"/>
    <x v="6"/>
    <s v="Cartridge"/>
    <n v="25"/>
    <n v="8"/>
    <n v="200"/>
  </r>
  <r>
    <s v="00047"/>
    <d v="2018-06-08T00:00:00"/>
    <x v="0"/>
    <s v="Ucell"/>
    <s v="Iroda To'laganova"/>
    <x v="6"/>
    <s v="Smartphone"/>
    <n v="250"/>
    <n v="3"/>
    <n v="750"/>
  </r>
  <r>
    <s v="00048"/>
    <d v="2018-06-11T00:00:00"/>
    <x v="0"/>
    <s v="Hamkorbank"/>
    <s v="Iroda To'laganova"/>
    <x v="6"/>
    <s v="Smartphone"/>
    <n v="827"/>
    <n v="3"/>
    <n v="2481"/>
  </r>
  <r>
    <s v="00049"/>
    <d v="2018-06-22T00:00:00"/>
    <x v="0"/>
    <s v="NBU"/>
    <s v="Iroda To'laganova"/>
    <x v="6"/>
    <s v="Smartphone"/>
    <n v="323"/>
    <n v="3"/>
    <n v="969"/>
  </r>
  <r>
    <s v="00050"/>
    <d v="2018-06-28T00:00:00"/>
    <x v="0"/>
    <s v="Kvarts"/>
    <s v="Iroda To'laganova"/>
    <x v="6"/>
    <s v="Smartphone"/>
    <n v="556"/>
    <n v="3"/>
    <n v="1668"/>
  </r>
  <r>
    <s v="00051"/>
    <d v="2018-07-06T00:00:00"/>
    <x v="0"/>
    <s v="Navoi Azot"/>
    <s v="Anvar Abdullaev"/>
    <x v="6"/>
    <s v="Smartphone"/>
    <n v="470"/>
    <n v="3"/>
    <n v="1410"/>
  </r>
  <r>
    <s v="00052"/>
    <d v="2018-07-08T00:00:00"/>
    <x v="0"/>
    <s v="Navoi Azot"/>
    <s v="Odil Ahmedov"/>
    <x v="7"/>
    <s v="Smartphone"/>
    <n v="603"/>
    <n v="3"/>
    <n v="1809"/>
  </r>
  <r>
    <s v="00053"/>
    <d v="2018-07-09T00:00:00"/>
    <x v="0"/>
    <s v="Akfa"/>
    <s v="Odil Ahmedov"/>
    <x v="7"/>
    <s v="Printer"/>
    <n v="400"/>
    <n v="2"/>
    <n v="800"/>
  </r>
  <r>
    <s v="00054"/>
    <d v="2018-07-11T00:00:00"/>
    <x v="0"/>
    <s v="Hamkorbank"/>
    <s v="Anvar Abdullaev"/>
    <x v="7"/>
    <s v="Scanner"/>
    <n v="150"/>
    <n v="1"/>
    <n v="150"/>
  </r>
  <r>
    <s v="00055"/>
    <d v="2018-07-17T00:00:00"/>
    <x v="0"/>
    <s v="Ucell"/>
    <s v="Odil Ahmedov"/>
    <x v="7"/>
    <s v="Scanner"/>
    <n v="150"/>
    <n v="2"/>
    <n v="300"/>
  </r>
  <r>
    <s v="00056"/>
    <d v="2018-07-17T00:00:00"/>
    <x v="0"/>
    <s v="Artel"/>
    <s v="Odil Ahmedov"/>
    <x v="7"/>
    <s v="Scanner"/>
    <n v="150"/>
    <n v="2"/>
    <n v="300"/>
  </r>
  <r>
    <s v="00057"/>
    <d v="2018-07-18T00:00:00"/>
    <x v="0"/>
    <s v="Akfa"/>
    <s v="Odil Ahmedov"/>
    <x v="7"/>
    <s v="Scanner"/>
    <n v="200"/>
    <n v="5"/>
    <n v="1000"/>
  </r>
  <r>
    <s v="00058"/>
    <d v="2018-07-24T00:00:00"/>
    <x v="0"/>
    <s v="Hamkorbank"/>
    <s v="Odil Ahmedov"/>
    <x v="7"/>
    <s v="Scanner"/>
    <n v="200"/>
    <n v="8"/>
    <n v="1600"/>
  </r>
  <r>
    <s v="00059"/>
    <d v="2018-07-24T00:00:00"/>
    <x v="0"/>
    <s v="Hamkorbank"/>
    <s v="Odil Ahmedov"/>
    <x v="7"/>
    <s v="Smartphone"/>
    <n v="910"/>
    <n v="3"/>
    <n v="2730"/>
  </r>
  <r>
    <s v="00060"/>
    <d v="2018-07-24T00:00:00"/>
    <x v="0"/>
    <s v="Navoi Azot"/>
    <s v="Anvar Abdullaev"/>
    <x v="7"/>
    <s v="Smartphone"/>
    <n v="540"/>
    <n v="3"/>
    <n v="1620"/>
  </r>
  <r>
    <s v="00061"/>
    <d v="2018-07-24T00:00:00"/>
    <x v="0"/>
    <s v="Ucell"/>
    <s v="Anvar Abdullaev"/>
    <x v="7"/>
    <s v="Smartphone"/>
    <n v="743"/>
    <n v="1"/>
    <n v="743"/>
  </r>
  <r>
    <s v="00062"/>
    <d v="2018-07-24T00:00:00"/>
    <x v="0"/>
    <s v="Navoi Azot"/>
    <s v="Anvar Abdullaev"/>
    <x v="7"/>
    <s v="Smartphone"/>
    <n v="454"/>
    <n v="1"/>
    <n v="454"/>
  </r>
  <r>
    <s v="00063"/>
    <d v="2018-08-12T00:00:00"/>
    <x v="0"/>
    <s v="Kvarts"/>
    <s v="Anvar Abdullaev"/>
    <x v="7"/>
    <s v="Smartphone"/>
    <n v="500"/>
    <n v="4"/>
    <n v="2000"/>
  </r>
  <r>
    <s v="00064"/>
    <d v="2018-08-22T00:00:00"/>
    <x v="0"/>
    <s v="NBU"/>
    <s v="Sanjar Ahmedov"/>
    <x v="1"/>
    <s v="Smartphone"/>
    <n v="940"/>
    <n v="2"/>
    <n v="1880"/>
  </r>
  <r>
    <s v="00065"/>
    <d v="2018-08-23T00:00:00"/>
    <x v="0"/>
    <s v="Akfa"/>
    <s v="Sanjar Ahmedov"/>
    <x v="1"/>
    <s v="Smartphone"/>
    <n v="199"/>
    <n v="2"/>
    <n v="398"/>
  </r>
  <r>
    <s v="00066"/>
    <d v="2018-08-29T00:00:00"/>
    <x v="0"/>
    <s v="NBU"/>
    <s v="Sanjar Ahmedov"/>
    <x v="1"/>
    <s v="Copier"/>
    <n v="1285"/>
    <n v="2"/>
    <n v="2570"/>
  </r>
  <r>
    <s v="00067"/>
    <d v="2018-08-30T00:00:00"/>
    <x v="0"/>
    <s v="Akfa"/>
    <s v="Sanjar Ahmedov"/>
    <x v="1"/>
    <s v="Copier"/>
    <n v="1231"/>
    <n v="2"/>
    <n v="2462"/>
  </r>
  <r>
    <s v="00068"/>
    <d v="2018-09-01T00:00:00"/>
    <x v="0"/>
    <s v="Artel"/>
    <s v="Anvar Abdullaev"/>
    <x v="1"/>
    <s v="Copier"/>
    <n v="892"/>
    <n v="4"/>
    <n v="3568"/>
  </r>
  <r>
    <s v="00069"/>
    <d v="2018-09-02T00:00:00"/>
    <x v="0"/>
    <s v="Ucell"/>
    <s v="Anvar Abdullaev"/>
    <x v="1"/>
    <s v="Copier"/>
    <n v="1088"/>
    <n v="2"/>
    <n v="2176"/>
  </r>
  <r>
    <s v="00070"/>
    <d v="2018-09-02T00:00:00"/>
    <x v="0"/>
    <s v="Hamkorbank"/>
    <s v="Odil Ahmedov"/>
    <x v="1"/>
    <s v="Copier"/>
    <n v="551"/>
    <n v="2"/>
    <n v="1102"/>
  </r>
  <r>
    <s v="00071"/>
    <d v="2018-09-06T00:00:00"/>
    <x v="0"/>
    <s v="Akfa"/>
    <s v="Odil Ahmedov"/>
    <x v="1"/>
    <s v="Copier"/>
    <n v="1413"/>
    <n v="3"/>
    <n v="4239"/>
  </r>
  <r>
    <s v="00072"/>
    <d v="2018-09-13T00:00:00"/>
    <x v="0"/>
    <s v="Kvarts"/>
    <s v="Odil Ahmedov"/>
    <x v="1"/>
    <s v="Copier"/>
    <n v="940"/>
    <n v="1"/>
    <n v="940"/>
  </r>
  <r>
    <s v="00073"/>
    <d v="2018-09-16T00:00:00"/>
    <x v="0"/>
    <s v="Hamkorbank"/>
    <s v="Odil Ahmedov"/>
    <x v="1"/>
    <s v="Copier"/>
    <n v="757"/>
    <n v="3"/>
    <n v="2271"/>
  </r>
  <r>
    <s v="00074"/>
    <d v="2018-09-18T00:00:00"/>
    <x v="0"/>
    <s v="Ucell"/>
    <s v="Odil Ahmedov"/>
    <x v="1"/>
    <s v="Copier"/>
    <n v="1406"/>
    <n v="3"/>
    <n v="4218"/>
  </r>
  <r>
    <s v="00075"/>
    <d v="2018-09-19T00:00:00"/>
    <x v="0"/>
    <s v="Akfa"/>
    <s v="Odil Ahmedov"/>
    <x v="0"/>
    <s v="Copier"/>
    <n v="1124"/>
    <n v="3"/>
    <n v="3372"/>
  </r>
  <r>
    <s v="00076"/>
    <d v="2018-09-19T00:00:00"/>
    <x v="0"/>
    <s v="Navoi Azot"/>
    <s v="Odil Ahmedov"/>
    <x v="0"/>
    <s v="Copier"/>
    <n v="1489"/>
    <n v="3"/>
    <n v="4467"/>
  </r>
  <r>
    <s v="00077"/>
    <d v="2018-09-24T00:00:00"/>
    <x v="0"/>
    <s v="Ucell"/>
    <s v="Odil Ahmedov"/>
    <x v="0"/>
    <s v="Copier"/>
    <n v="1479"/>
    <n v="5"/>
    <n v="7395"/>
  </r>
  <r>
    <s v="00078"/>
    <d v="2018-09-26T00:00:00"/>
    <x v="0"/>
    <s v="NBU"/>
    <s v="Feruza Usmanova"/>
    <x v="0"/>
    <s v="Copier"/>
    <n v="897"/>
    <n v="3"/>
    <n v="2691"/>
  </r>
  <r>
    <s v="00079"/>
    <d v="2018-09-26T00:00:00"/>
    <x v="0"/>
    <s v="Hamkorbank"/>
    <s v="Feruza Usmanova"/>
    <x v="0"/>
    <s v="Copier"/>
    <n v="974"/>
    <n v="2"/>
    <n v="1948"/>
  </r>
  <r>
    <s v="00080"/>
    <d v="2018-09-27T00:00:00"/>
    <x v="0"/>
    <s v="Ucell"/>
    <s v="Feruza Usmanova"/>
    <x v="0"/>
    <s v="Paper"/>
    <n v="5"/>
    <n v="37"/>
    <n v="185"/>
  </r>
  <r>
    <s v="00081"/>
    <d v="2018-09-29T00:00:00"/>
    <x v="0"/>
    <s v="Navoi Azot"/>
    <s v="Feruza Usmanova"/>
    <x v="0"/>
    <s v="Paper"/>
    <n v="5"/>
    <n v="193"/>
    <n v="965"/>
  </r>
  <r>
    <s v="00082"/>
    <d v="2018-09-29T00:00:00"/>
    <x v="0"/>
    <s v="NBU"/>
    <s v="Feruza Usmanova"/>
    <x v="0"/>
    <s v="Paper"/>
    <n v="5"/>
    <n v="170"/>
    <n v="850"/>
  </r>
  <r>
    <s v="00083"/>
    <d v="2018-09-30T00:00:00"/>
    <x v="0"/>
    <s v="Kvarts"/>
    <s v="Feruza Usmanova"/>
    <x v="0"/>
    <s v="Paper"/>
    <n v="5"/>
    <n v="177"/>
    <n v="885"/>
  </r>
  <r>
    <s v="00084"/>
    <d v="2018-10-10T00:00:00"/>
    <x v="0"/>
    <s v="NBU"/>
    <s v="Feruza Usmanova"/>
    <x v="0"/>
    <s v="Paper"/>
    <n v="5"/>
    <n v="189"/>
    <n v="945"/>
  </r>
  <r>
    <s v="00085"/>
    <d v="2018-10-10T00:00:00"/>
    <x v="0"/>
    <s v="Kvarts"/>
    <s v="Irina Askarova"/>
    <x v="0"/>
    <s v="Paper"/>
    <n v="5"/>
    <n v="141"/>
    <n v="705"/>
  </r>
  <r>
    <s v="00086"/>
    <d v="2018-10-13T00:00:00"/>
    <x v="0"/>
    <s v="Kvarts"/>
    <s v="Muhayyo Isaeva"/>
    <x v="0"/>
    <s v="Paper"/>
    <n v="5"/>
    <n v="99"/>
    <n v="495"/>
  </r>
  <r>
    <s v="00087"/>
    <d v="2018-10-14T00:00:00"/>
    <x v="0"/>
    <s v="Navoi Azot"/>
    <s v="Irina Askarova"/>
    <x v="0"/>
    <s v="Paper"/>
    <n v="6"/>
    <n v="90"/>
    <n v="540"/>
  </r>
  <r>
    <s v="00088"/>
    <d v="2018-10-16T00:00:00"/>
    <x v="0"/>
    <s v="Hamkorbank"/>
    <s v="Muhayyo Isaeva"/>
    <x v="0"/>
    <s v="Paper"/>
    <n v="6"/>
    <n v="93"/>
    <n v="558"/>
  </r>
  <r>
    <s v="00089"/>
    <d v="2018-10-17T00:00:00"/>
    <x v="0"/>
    <s v="Navoi Azot"/>
    <s v="Anvar Abdullaev"/>
    <x v="0"/>
    <s v="Paper"/>
    <n v="6"/>
    <n v="79"/>
    <n v="474"/>
  </r>
  <r>
    <s v="00090"/>
    <d v="2018-10-24T00:00:00"/>
    <x v="0"/>
    <s v="Navoi Azot"/>
    <s v="Anvar Abdullaev"/>
    <x v="4"/>
    <s v="Paper"/>
    <n v="6"/>
    <n v="157"/>
    <n v="942"/>
  </r>
  <r>
    <s v="00091"/>
    <d v="2018-10-24T00:00:00"/>
    <x v="0"/>
    <s v="Artel"/>
    <s v="Anvar Abdullaev"/>
    <x v="4"/>
    <s v="Paper"/>
    <n v="6"/>
    <n v="43"/>
    <n v="258"/>
  </r>
  <r>
    <s v="00092"/>
    <d v="2018-11-11T00:00:00"/>
    <x v="0"/>
    <s v="Kvarts"/>
    <s v="Anvar Abdullaev"/>
    <x v="4"/>
    <s v="Paper"/>
    <n v="6"/>
    <n v="41"/>
    <n v="246"/>
  </r>
  <r>
    <s v="00093"/>
    <d v="2018-11-17T00:00:00"/>
    <x v="0"/>
    <s v="NBU"/>
    <s v="Irina Askarova"/>
    <x v="4"/>
    <s v="Paper"/>
    <n v="6"/>
    <n v="100"/>
    <n v="600"/>
  </r>
  <r>
    <s v="00094"/>
    <d v="2018-11-17T00:00:00"/>
    <x v="0"/>
    <s v="Artel"/>
    <s v="Muhayyo Isaeva"/>
    <x v="4"/>
    <s v="Paper"/>
    <n v="6"/>
    <n v="117"/>
    <n v="702"/>
  </r>
  <r>
    <s v="00095"/>
    <d v="2018-11-17T00:00:00"/>
    <x v="0"/>
    <s v="NBU"/>
    <s v="Irina Askarova"/>
    <x v="4"/>
    <s v="Paper"/>
    <n v="6"/>
    <n v="58"/>
    <n v="348"/>
  </r>
  <r>
    <s v="00096"/>
    <d v="2018-11-20T00:00:00"/>
    <x v="0"/>
    <s v="Akfa"/>
    <s v="Muhayyo Isaeva"/>
    <x v="4"/>
    <s v="Paper"/>
    <n v="6"/>
    <n v="142"/>
    <n v="852"/>
  </r>
  <r>
    <s v="00097"/>
    <d v="2018-11-22T00:00:00"/>
    <x v="0"/>
    <s v="Ucell"/>
    <s v="Anvar Abdullaev"/>
    <x v="4"/>
    <s v="Paper"/>
    <n v="6"/>
    <n v="106"/>
    <n v="636"/>
  </r>
  <r>
    <s v="00098"/>
    <d v="2018-11-22T00:00:00"/>
    <x v="0"/>
    <s v="Artel"/>
    <s v="Anvar Abdullaev"/>
    <x v="4"/>
    <s v="Paper"/>
    <n v="6"/>
    <n v="141"/>
    <n v="846"/>
  </r>
  <r>
    <s v="00099"/>
    <d v="2018-11-23T00:00:00"/>
    <x v="0"/>
    <s v="Kvarts"/>
    <s v="Anvar Abdullaev"/>
    <x v="4"/>
    <s v="Paper"/>
    <n v="6"/>
    <n v="16"/>
    <n v="96"/>
  </r>
  <r>
    <s v="00100"/>
    <d v="2018-11-23T00:00:00"/>
    <x v="0"/>
    <s v="Navoi Azot"/>
    <s v="Odil Ahmedov"/>
    <x v="4"/>
    <s v="Paper"/>
    <n v="6"/>
    <n v="115"/>
    <n v="690"/>
  </r>
  <r>
    <s v="00101"/>
    <d v="2018-11-27T00:00:00"/>
    <x v="0"/>
    <s v="Hamkorbank"/>
    <s v="Odil Ahmedov"/>
    <x v="4"/>
    <s v="Paper"/>
    <n v="6"/>
    <n v="164"/>
    <n v="984"/>
  </r>
  <r>
    <s v="00102"/>
    <d v="2018-11-28T00:00:00"/>
    <x v="0"/>
    <s v="Artel"/>
    <s v="Odil Ahmedov"/>
    <x v="4"/>
    <s v="Paper"/>
    <n v="6"/>
    <n v="163"/>
    <n v="978"/>
  </r>
  <r>
    <s v="00103"/>
    <d v="2018-11-28T00:00:00"/>
    <x v="0"/>
    <s v="Artel"/>
    <s v="Odil Ahmedov"/>
    <x v="4"/>
    <s v="Paper"/>
    <n v="6"/>
    <n v="81"/>
    <n v="486"/>
  </r>
  <r>
    <s v="00104"/>
    <d v="2018-11-29T00:00:00"/>
    <x v="0"/>
    <s v="Navoi Azot"/>
    <s v="Odil Ahmedov"/>
    <x v="2"/>
    <s v="Paper"/>
    <n v="6"/>
    <n v="117"/>
    <n v="702"/>
  </r>
  <r>
    <s v="00105"/>
    <d v="2018-11-29T00:00:00"/>
    <x v="0"/>
    <s v="Hamkorbank"/>
    <s v="Odil Ahmedov"/>
    <x v="2"/>
    <s v="Paper"/>
    <n v="6"/>
    <n v="135"/>
    <n v="810"/>
  </r>
  <r>
    <s v="00106"/>
    <d v="2018-11-29T00:00:00"/>
    <x v="0"/>
    <s v="Kvarts"/>
    <s v="Odil Ahmedov"/>
    <x v="2"/>
    <s v="Laptop"/>
    <n v="1159"/>
    <n v="4"/>
    <n v="4636"/>
  </r>
  <r>
    <s v="00107"/>
    <d v="2018-11-29T00:00:00"/>
    <x v="0"/>
    <s v="Artel"/>
    <s v="Feruza Usmanova"/>
    <x v="2"/>
    <s v="Laptop"/>
    <n v="1044"/>
    <n v="4"/>
    <n v="4176"/>
  </r>
  <r>
    <s v="00108"/>
    <d v="2018-11-29T00:00:00"/>
    <x v="0"/>
    <s v="Ucell"/>
    <s v="Feruza Usmanova"/>
    <x v="2"/>
    <s v="Laptop"/>
    <n v="1115"/>
    <n v="12"/>
    <n v="13380"/>
  </r>
  <r>
    <s v="00109"/>
    <d v="2018-12-12T00:00:00"/>
    <x v="0"/>
    <s v="Artel"/>
    <s v="Feruza Usmanova"/>
    <x v="2"/>
    <s v="Laptop"/>
    <n v="819"/>
    <n v="11"/>
    <n v="9009"/>
  </r>
  <r>
    <s v="00110"/>
    <d v="2018-12-17T00:00:00"/>
    <x v="0"/>
    <s v="Kvarts"/>
    <s v="Feruza Usmanova"/>
    <x v="2"/>
    <s v="Laptop"/>
    <n v="1089"/>
    <n v="8"/>
    <n v="8712"/>
  </r>
  <r>
    <s v="00111"/>
    <d v="2018-12-28T00:00:00"/>
    <x v="0"/>
    <s v="Kvarts"/>
    <s v="Irina Askarova"/>
    <x v="2"/>
    <s v="Laptop"/>
    <n v="982"/>
    <n v="3"/>
    <n v="2946"/>
  </r>
  <r>
    <s v="00112"/>
    <d v="2019-01-03T00:00:00"/>
    <x v="1"/>
    <s v="Hamkorbank"/>
    <s v="Muhayyo Isaeva"/>
    <x v="8"/>
    <s v="Laptop"/>
    <n v="821"/>
    <n v="9"/>
    <n v="7389"/>
  </r>
  <r>
    <s v="00113"/>
    <d v="2019-01-08T00:00:00"/>
    <x v="1"/>
    <s v="Artel"/>
    <s v="Sanjar Ahmedov"/>
    <x v="8"/>
    <s v="Laptop"/>
    <n v="1101"/>
    <n v="8"/>
    <n v="8808"/>
  </r>
  <r>
    <s v="00114"/>
    <d v="2019-01-08T00:00:00"/>
    <x v="1"/>
    <s v="Artel"/>
    <s v="Sanjar Ahmedov"/>
    <x v="8"/>
    <s v="Laptop"/>
    <n v="926"/>
    <n v="4"/>
    <n v="3704"/>
  </r>
  <r>
    <s v="00115"/>
    <d v="2019-01-14T00:00:00"/>
    <x v="1"/>
    <s v="Artel"/>
    <s v="Sanjar Ahmedov"/>
    <x v="8"/>
    <s v="Laptop"/>
    <n v="827"/>
    <n v="10"/>
    <n v="8270"/>
  </r>
  <r>
    <s v="00116"/>
    <d v="2019-01-14T00:00:00"/>
    <x v="1"/>
    <s v="NBU"/>
    <s v="Sanjar Ahmedov"/>
    <x v="8"/>
    <s v="Laptop"/>
    <n v="978"/>
    <n v="8"/>
    <n v="7824"/>
  </r>
  <r>
    <s v="00117"/>
    <d v="2019-01-14T00:00:00"/>
    <x v="1"/>
    <s v="NBU"/>
    <s v="Sanjar Ahmedov"/>
    <x v="8"/>
    <s v="Laptop"/>
    <n v="1194"/>
    <n v="14"/>
    <n v="16716"/>
  </r>
  <r>
    <s v="00118"/>
    <d v="2019-01-14T00:00:00"/>
    <x v="1"/>
    <s v="Akfa"/>
    <s v="Sanjar Ahmedov"/>
    <x v="8"/>
    <s v="Laptop"/>
    <n v="867"/>
    <n v="1"/>
    <n v="867"/>
  </r>
  <r>
    <s v="00119"/>
    <d v="2019-01-14T00:00:00"/>
    <x v="1"/>
    <s v="Akfa"/>
    <s v="Irina Askarova"/>
    <x v="8"/>
    <s v="Laptop"/>
    <n v="950"/>
    <n v="6"/>
    <n v="5700"/>
  </r>
  <r>
    <s v="00120"/>
    <d v="2019-01-14T00:00:00"/>
    <x v="1"/>
    <s v="Akfa"/>
    <s v="Muhayyo Isaeva"/>
    <x v="8"/>
    <s v="Laptop"/>
    <n v="975"/>
    <n v="1"/>
    <n v="975"/>
  </r>
  <r>
    <s v="00121"/>
    <d v="2019-01-14T00:00:00"/>
    <x v="1"/>
    <s v="Ucell"/>
    <s v="Irina Askarova"/>
    <x v="8"/>
    <s v="Laptop"/>
    <n v="1014"/>
    <n v="7"/>
    <n v="7098"/>
  </r>
  <r>
    <s v="00122"/>
    <d v="2019-01-14T00:00:00"/>
    <x v="1"/>
    <s v="Ucell"/>
    <s v="Muhayyo Isaeva"/>
    <x v="8"/>
    <s v="Laptop"/>
    <n v="1008"/>
    <n v="13"/>
    <n v="13104"/>
  </r>
  <r>
    <s v="00123"/>
    <d v="2019-01-14T00:00:00"/>
    <x v="1"/>
    <s v="Ucell"/>
    <s v="Irina Askarova"/>
    <x v="8"/>
    <s v="Laptop"/>
    <n v="969"/>
    <n v="11"/>
    <n v="10659"/>
  </r>
  <r>
    <s v="00124"/>
    <d v="2019-02-26T00:00:00"/>
    <x v="1"/>
    <s v="Artel"/>
    <s v="Muhayyo Isaeva"/>
    <x v="8"/>
    <s v="Laptop"/>
    <n v="927"/>
    <n v="13"/>
    <n v="12051"/>
  </r>
  <r>
    <s v="00125"/>
    <d v="2019-02-28T00:00:00"/>
    <x v="1"/>
    <s v="NBU"/>
    <s v="Irina Askarova"/>
    <x v="8"/>
    <s v="Laptop"/>
    <n v="951"/>
    <n v="3"/>
    <n v="2853"/>
  </r>
  <r>
    <s v="00126"/>
    <d v="2019-03-01T00:00:00"/>
    <x v="1"/>
    <s v="NBU"/>
    <s v="Muhayyo Isaeva"/>
    <x v="8"/>
    <s v="Laptop"/>
    <n v="1112"/>
    <n v="4"/>
    <n v="4448"/>
  </r>
  <r>
    <s v="00127"/>
    <d v="2019-03-01T00:00:00"/>
    <x v="1"/>
    <s v="Akfa"/>
    <s v="Irina Askarova"/>
    <x v="8"/>
    <s v="Laptop"/>
    <n v="973"/>
    <n v="10"/>
    <n v="9730"/>
  </r>
  <r>
    <s v="00128"/>
    <d v="2019-03-11T00:00:00"/>
    <x v="1"/>
    <s v="Kvarts"/>
    <s v="Muhayyo Isaeva"/>
    <x v="8"/>
    <s v="Smartphone"/>
    <n v="826"/>
    <n v="5"/>
    <n v="4130"/>
  </r>
  <r>
    <s v="00129"/>
    <d v="2019-03-11T00:00:00"/>
    <x v="1"/>
    <s v="Navoi Azot"/>
    <s v="Irina Askarova"/>
    <x v="8"/>
    <s v="Smartphone"/>
    <n v="744"/>
    <n v="10"/>
    <n v="7440"/>
  </r>
  <r>
    <s v="00130"/>
    <d v="2019-03-11T00:00:00"/>
    <x v="1"/>
    <s v="Ucell"/>
    <s v="Muhayyo Isaeva"/>
    <x v="8"/>
    <s v="Smartphone"/>
    <n v="387"/>
    <n v="10"/>
    <n v="3870"/>
  </r>
  <r>
    <s v="00131"/>
    <d v="2019-03-23T00:00:00"/>
    <x v="1"/>
    <s v="NBU"/>
    <s v="Irina Askarova"/>
    <x v="6"/>
    <s v="Smartphone"/>
    <n v="653"/>
    <n v="10"/>
    <n v="6530"/>
  </r>
  <r>
    <s v="00132"/>
    <d v="2019-03-23T00:00:00"/>
    <x v="1"/>
    <s v="Akfa"/>
    <s v="Anvar Abdullaev"/>
    <x v="6"/>
    <s v="Smartphone"/>
    <n v="986"/>
    <n v="3"/>
    <n v="2958"/>
  </r>
  <r>
    <s v="00133"/>
    <d v="2019-03-29T00:00:00"/>
    <x v="1"/>
    <s v="Akfa"/>
    <s v="Anvar Abdullaev"/>
    <x v="6"/>
    <s v="Smartphone"/>
    <n v="962"/>
    <n v="2"/>
    <n v="1924"/>
  </r>
  <r>
    <s v="00134"/>
    <d v="2019-04-11T00:00:00"/>
    <x v="1"/>
    <s v="Hamkorbank"/>
    <s v="Anvar Abdullaev"/>
    <x v="6"/>
    <s v="Smartphone"/>
    <n v="569"/>
    <n v="2"/>
    <n v="1138"/>
  </r>
  <r>
    <s v="00135"/>
    <d v="2019-04-11T00:00:00"/>
    <x v="1"/>
    <s v="NBU"/>
    <s v="Anvar Abdullaev"/>
    <x v="6"/>
    <s v="Smartphone"/>
    <n v="467"/>
    <n v="2"/>
    <n v="934"/>
  </r>
  <r>
    <s v="00136"/>
    <d v="2019-04-11T00:00:00"/>
    <x v="1"/>
    <s v="Hamkorbank"/>
    <s v="Anvar Abdullaev"/>
    <x v="6"/>
    <s v="Smartphone"/>
    <n v="600"/>
    <n v="2"/>
    <n v="1200"/>
  </r>
  <r>
    <s v="00137"/>
    <d v="2019-04-14T00:00:00"/>
    <x v="1"/>
    <s v="Akfa"/>
    <s v="Irina Askarova"/>
    <x v="6"/>
    <s v="Smartphone"/>
    <n v="700"/>
    <n v="2"/>
    <n v="1400"/>
  </r>
  <r>
    <s v="00138"/>
    <d v="2019-04-17T00:00:00"/>
    <x v="1"/>
    <s v="Akfa"/>
    <s v="Muhayyo Isaeva"/>
    <x v="6"/>
    <s v="Smartphone"/>
    <n v="358"/>
    <n v="2"/>
    <n v="716"/>
  </r>
  <r>
    <s v="00139"/>
    <d v="2019-04-19T00:00:00"/>
    <x v="1"/>
    <s v="Akfa"/>
    <s v="Irina Askarova"/>
    <x v="6"/>
    <s v="Printer"/>
    <n v="400"/>
    <n v="2"/>
    <n v="800"/>
  </r>
  <r>
    <s v="00140"/>
    <d v="2019-04-21T00:00:00"/>
    <x v="1"/>
    <s v="Hamkorbank"/>
    <s v="Muhayyo Isaeva"/>
    <x v="6"/>
    <s v="Printer"/>
    <n v="400"/>
    <n v="8"/>
    <n v="3200"/>
  </r>
  <r>
    <s v="00141"/>
    <d v="2019-04-25T00:00:00"/>
    <x v="1"/>
    <s v="Navoi Azot"/>
    <s v="Irina Askarova"/>
    <x v="6"/>
    <s v="Printer"/>
    <n v="400"/>
    <n v="3"/>
    <n v="1200"/>
  </r>
  <r>
    <s v="00142"/>
    <d v="2019-04-29T00:00:00"/>
    <x v="1"/>
    <s v="Ucell"/>
    <s v="Muhayyo Isaeva"/>
    <x v="6"/>
    <s v="Printer"/>
    <n v="400"/>
    <n v="8"/>
    <n v="3200"/>
  </r>
  <r>
    <s v="00143"/>
    <d v="2019-05-05T00:00:00"/>
    <x v="1"/>
    <s v="NBU"/>
    <s v="Irina Askarova"/>
    <x v="6"/>
    <s v="Printer"/>
    <n v="400"/>
    <n v="8"/>
    <n v="3200"/>
  </r>
  <r>
    <s v="00144"/>
    <d v="2019-05-07T00:00:00"/>
    <x v="1"/>
    <s v="Navoi Azot"/>
    <s v="Muhayyo Isaeva"/>
    <x v="6"/>
    <s v="Printer"/>
    <n v="400"/>
    <n v="6"/>
    <n v="2400"/>
  </r>
  <r>
    <s v="00145"/>
    <d v="2019-05-14T00:00:00"/>
    <x v="1"/>
    <s v="NBU"/>
    <s v="Irina Askarova"/>
    <x v="6"/>
    <s v="Copier"/>
    <n v="519"/>
    <n v="3"/>
    <n v="1557"/>
  </r>
  <r>
    <s v="00146"/>
    <d v="2019-05-14T00:00:00"/>
    <x v="1"/>
    <s v="Kvarts"/>
    <s v="Muhayyo Isaeva"/>
    <x v="6"/>
    <s v="Copier"/>
    <n v="453"/>
    <n v="4"/>
    <n v="1812"/>
  </r>
  <r>
    <s v="00147"/>
    <d v="2019-05-14T00:00:00"/>
    <x v="1"/>
    <s v="Hamkorbank"/>
    <s v="Odil Ahmedov"/>
    <x v="1"/>
    <s v="Copier"/>
    <n v="632"/>
    <n v="6"/>
    <n v="3792"/>
  </r>
  <r>
    <s v="00148"/>
    <d v="2019-05-14T00:00:00"/>
    <x v="1"/>
    <s v="NBU"/>
    <s v="Odil Ahmedov"/>
    <x v="1"/>
    <s v="Copier"/>
    <n v="1368"/>
    <n v="5"/>
    <n v="6840"/>
  </r>
  <r>
    <s v="00149"/>
    <d v="2019-05-28T00:00:00"/>
    <x v="1"/>
    <s v="Kvarts"/>
    <s v="Odil Ahmedov"/>
    <x v="1"/>
    <s v="Copier"/>
    <n v="1299"/>
    <n v="3"/>
    <n v="3897"/>
  </r>
  <r>
    <s v="00150"/>
    <d v="2019-05-30T00:00:00"/>
    <x v="1"/>
    <s v="Ucell"/>
    <s v="Odil Ahmedov"/>
    <x v="1"/>
    <s v="Copier"/>
    <n v="1236"/>
    <n v="6"/>
    <n v="7416"/>
  </r>
  <r>
    <s v="00151"/>
    <d v="2019-06-05T00:00:00"/>
    <x v="1"/>
    <s v="Navoi Azot"/>
    <s v="Odil Ahmedov"/>
    <x v="1"/>
    <s v="Copier"/>
    <n v="688"/>
    <n v="4"/>
    <n v="2752"/>
  </r>
  <r>
    <s v="00152"/>
    <d v="2019-06-12T00:00:00"/>
    <x v="1"/>
    <s v="Artel"/>
    <s v="Sanjar Ahmedov"/>
    <x v="1"/>
    <s v="Desktop"/>
    <n v="400"/>
    <n v="1"/>
    <n v="400"/>
  </r>
  <r>
    <s v="00153"/>
    <d v="2019-06-17T00:00:00"/>
    <x v="1"/>
    <s v="Hamkorbank"/>
    <s v="Sanjar Ahmedov"/>
    <x v="1"/>
    <s v="Desktop"/>
    <n v="500"/>
    <n v="4"/>
    <n v="2000"/>
  </r>
  <r>
    <s v="00154"/>
    <d v="2019-06-20T00:00:00"/>
    <x v="1"/>
    <s v="Kvarts"/>
    <s v="Sanjar Ahmedov"/>
    <x v="1"/>
    <s v="Desktop"/>
    <n v="500"/>
    <n v="5"/>
    <n v="2500"/>
  </r>
  <r>
    <s v="00155"/>
    <d v="2019-06-25T00:00:00"/>
    <x v="1"/>
    <s v="Navoi Azot"/>
    <s v="Sanjar Ahmedov"/>
    <x v="1"/>
    <s v="Desktop"/>
    <n v="500"/>
    <n v="3"/>
    <n v="1500"/>
  </r>
  <r>
    <s v="00156"/>
    <d v="2019-06-28T00:00:00"/>
    <x v="1"/>
    <s v="Kvarts"/>
    <s v="Iroda To'laganova"/>
    <x v="1"/>
    <s v="Desktop"/>
    <n v="500"/>
    <n v="1"/>
    <n v="500"/>
  </r>
  <r>
    <s v="00157"/>
    <d v="2019-06-29T00:00:00"/>
    <x v="1"/>
    <s v="NBU"/>
    <s v="Iroda To'laganova"/>
    <x v="1"/>
    <s v="Desktop"/>
    <n v="500"/>
    <n v="4"/>
    <n v="2000"/>
  </r>
  <r>
    <s v="00158"/>
    <d v="2019-07-05T00:00:00"/>
    <x v="1"/>
    <s v="Navoi Azot"/>
    <s v="Iroda To'laganova"/>
    <x v="1"/>
    <s v="Desktop"/>
    <n v="500"/>
    <n v="5"/>
    <n v="2500"/>
  </r>
  <r>
    <s v="00159"/>
    <d v="2019-07-07T00:00:00"/>
    <x v="1"/>
    <s v="Ucell"/>
    <s v="Iroda To'laganova"/>
    <x v="9"/>
    <s v="Desktop"/>
    <n v="500"/>
    <n v="3"/>
    <n v="1500"/>
  </r>
  <r>
    <s v="00160"/>
    <d v="2019-07-30T00:00:00"/>
    <x v="1"/>
    <s v="Navoi Azot"/>
    <s v="Iroda To'laganova"/>
    <x v="9"/>
    <s v="Printer"/>
    <n v="400"/>
    <n v="5"/>
    <n v="2000"/>
  </r>
  <r>
    <s v="00161"/>
    <d v="2019-08-11T00:00:00"/>
    <x v="1"/>
    <s v="NBU"/>
    <s v="Iroda To'laganova"/>
    <x v="9"/>
    <s v="Printer"/>
    <n v="400"/>
    <n v="4"/>
    <n v="1600"/>
  </r>
  <r>
    <s v="00162"/>
    <d v="2019-08-11T00:00:00"/>
    <x v="1"/>
    <s v="Ucell"/>
    <s v="Irina Askarova"/>
    <x v="9"/>
    <s v="Printer"/>
    <n v="400"/>
    <n v="6"/>
    <n v="2400"/>
  </r>
  <r>
    <s v="00163"/>
    <d v="2019-08-16T00:00:00"/>
    <x v="1"/>
    <s v="NBU"/>
    <s v="Irina Askarova"/>
    <x v="9"/>
    <s v="Printer"/>
    <n v="425"/>
    <n v="8"/>
    <n v="3400"/>
  </r>
  <r>
    <s v="00164"/>
    <d v="2019-08-21T00:00:00"/>
    <x v="1"/>
    <s v="NBU"/>
    <s v="Irina Askarova"/>
    <x v="9"/>
    <s v="Printer"/>
    <n v="425"/>
    <n v="4"/>
    <n v="1700"/>
  </r>
  <r>
    <s v="00165"/>
    <d v="2019-09-06T00:00:00"/>
    <x v="1"/>
    <s v="Artel"/>
    <s v="Irina Askarova"/>
    <x v="9"/>
    <s v="Printer"/>
    <n v="425"/>
    <n v="3"/>
    <n v="1275"/>
  </r>
  <r>
    <s v="00166"/>
    <d v="2019-09-10T00:00:00"/>
    <x v="1"/>
    <s v="Kvarts"/>
    <s v="Irina Askarova"/>
    <x v="9"/>
    <s v="Printer"/>
    <n v="425"/>
    <n v="5"/>
    <n v="2125"/>
  </r>
  <r>
    <s v="00167"/>
    <d v="2019-09-10T00:00:00"/>
    <x v="1"/>
    <s v="Akfa"/>
    <s v="Feruza Usmanova"/>
    <x v="9"/>
    <s v="Printer"/>
    <n v="425"/>
    <n v="6"/>
    <n v="2550"/>
  </r>
  <r>
    <s v="00168"/>
    <d v="2019-09-17T00:00:00"/>
    <x v="1"/>
    <s v="Navoi Azot"/>
    <s v="Feruza Usmanova"/>
    <x v="9"/>
    <s v="Printer"/>
    <n v="425"/>
    <n v="2"/>
    <n v="850"/>
  </r>
  <r>
    <s v="00169"/>
    <d v="2019-09-23T00:00:00"/>
    <x v="1"/>
    <s v="Navoi Azot"/>
    <s v="Feruza Usmanova"/>
    <x v="9"/>
    <s v="Printer"/>
    <n v="425"/>
    <n v="6"/>
    <n v="2550"/>
  </r>
  <r>
    <s v="00170"/>
    <d v="2019-09-24T00:00:00"/>
    <x v="1"/>
    <s v="NBU"/>
    <s v="Feruza Usmanova"/>
    <x v="9"/>
    <s v="Printer"/>
    <n v="425"/>
    <n v="3"/>
    <n v="1275"/>
  </r>
  <r>
    <s v="00171"/>
    <d v="2019-09-26T00:00:00"/>
    <x v="1"/>
    <s v="Artel"/>
    <s v="Feruza Usmanova"/>
    <x v="9"/>
    <s v="Printer"/>
    <n v="425"/>
    <n v="5"/>
    <n v="2125"/>
  </r>
  <r>
    <s v="00172"/>
    <d v="2019-10-10T00:00:00"/>
    <x v="1"/>
    <s v="Navoi Azot"/>
    <s v="Feruza Usmanova"/>
    <x v="9"/>
    <s v="Printer"/>
    <n v="425"/>
    <n v="7"/>
    <n v="2975"/>
  </r>
  <r>
    <s v="00173"/>
    <d v="2019-10-10T00:00:00"/>
    <x v="1"/>
    <s v="Artel"/>
    <s v="Sanjar Ahmedov"/>
    <x v="9"/>
    <s v="Printer"/>
    <n v="425"/>
    <n v="2"/>
    <n v="850"/>
  </r>
  <r>
    <s v="00174"/>
    <d v="2019-10-13T00:00:00"/>
    <x v="1"/>
    <s v="Navoi Azot"/>
    <s v="Sanjar Ahmedov"/>
    <x v="9"/>
    <s v="Printer"/>
    <n v="440"/>
    <n v="6"/>
    <n v="2640"/>
  </r>
  <r>
    <s v="00175"/>
    <d v="2019-10-16T00:00:00"/>
    <x v="1"/>
    <s v="Ucell"/>
    <s v="Sanjar Ahmedov"/>
    <x v="9"/>
    <s v="Printer"/>
    <n v="440"/>
    <n v="7"/>
    <n v="3080"/>
  </r>
  <r>
    <s v="00176"/>
    <d v="2019-10-21T00:00:00"/>
    <x v="1"/>
    <s v="Akfa"/>
    <s v="Muhayyo Isaeva"/>
    <x v="9"/>
    <s v="Printer"/>
    <n v="440"/>
    <n v="5"/>
    <n v="2200"/>
  </r>
  <r>
    <s v="00177"/>
    <d v="2019-10-24T00:00:00"/>
    <x v="1"/>
    <s v="Kvarts"/>
    <s v="Muhayyo Isaeva"/>
    <x v="9"/>
    <s v="Printer"/>
    <n v="440"/>
    <n v="8"/>
    <n v="3520"/>
  </r>
  <r>
    <s v="00178"/>
    <d v="2019-10-27T00:00:00"/>
    <x v="1"/>
    <s v="Ucell"/>
    <s v="Muhayyo Isaeva"/>
    <x v="9"/>
    <s v="Printer"/>
    <n v="440"/>
    <n v="6"/>
    <n v="2640"/>
  </r>
  <r>
    <s v="00179"/>
    <d v="2019-10-27T00:00:00"/>
    <x v="1"/>
    <s v="Artel"/>
    <s v="Muhayyo Isaeva"/>
    <x v="9"/>
    <s v="Printer"/>
    <n v="440"/>
    <n v="4"/>
    <n v="1760"/>
  </r>
  <r>
    <s v="00180"/>
    <d v="2019-10-29T00:00:00"/>
    <x v="1"/>
    <s v="NBU"/>
    <s v="Muhayyo Isaeva"/>
    <x v="9"/>
    <s v="Printer"/>
    <n v="440"/>
    <n v="8"/>
    <n v="3520"/>
  </r>
  <r>
    <s v="00181"/>
    <d v="2019-10-30T00:00:00"/>
    <x v="1"/>
    <s v="Akfa"/>
    <s v="Muhayyo Isaeva"/>
    <x v="9"/>
    <s v="Printer"/>
    <n v="440"/>
    <n v="5"/>
    <n v="2200"/>
  </r>
  <r>
    <s v="00182"/>
    <d v="2019-11-05T00:00:00"/>
    <x v="1"/>
    <s v="Hamkorbank"/>
    <s v="Asqar Akaev"/>
    <x v="9"/>
    <s v="Printer"/>
    <n v="440"/>
    <n v="2"/>
    <n v="880"/>
  </r>
  <r>
    <s v="00183"/>
    <d v="2019-11-09T00:00:00"/>
    <x v="1"/>
    <s v="Hamkorbank"/>
    <s v="Asqar Akaev"/>
    <x v="9"/>
    <s v="Printer"/>
    <n v="440"/>
    <n v="5"/>
    <n v="2200"/>
  </r>
  <r>
    <s v="00184"/>
    <d v="2019-11-09T00:00:00"/>
    <x v="1"/>
    <s v="Kvarts"/>
    <s v="Asqar Akaev"/>
    <x v="9"/>
    <s v="Printer"/>
    <n v="440"/>
    <n v="3"/>
    <n v="1320"/>
  </r>
  <r>
    <s v="00185"/>
    <d v="2019-11-09T00:00:00"/>
    <x v="1"/>
    <s v="Kvarts"/>
    <s v="Asqar Akaev"/>
    <x v="9"/>
    <s v="Copier"/>
    <n v="571"/>
    <n v="3"/>
    <n v="1713"/>
  </r>
  <r>
    <s v="00186"/>
    <d v="2019-11-09T00:00:00"/>
    <x v="1"/>
    <s v="Navoi Azot"/>
    <s v="Asqar Akaev"/>
    <x v="9"/>
    <s v="Copier"/>
    <n v="635"/>
    <n v="4"/>
    <n v="2540"/>
  </r>
  <r>
    <s v="00187"/>
    <d v="2019-11-09T00:00:00"/>
    <x v="1"/>
    <s v="Ucell"/>
    <s v="Sanjar Ahmedov"/>
    <x v="9"/>
    <s v="Copier"/>
    <n v="1177"/>
    <n v="3"/>
    <n v="3531"/>
  </r>
  <r>
    <s v="00188"/>
    <d v="2019-11-09T00:00:00"/>
    <x v="1"/>
    <s v="Kvarts"/>
    <s v="Sanjar Ahmedov"/>
    <x v="9"/>
    <s v="Copier"/>
    <n v="530"/>
    <n v="6"/>
    <n v="3180"/>
  </r>
  <r>
    <s v="00189"/>
    <d v="2019-11-21T00:00:00"/>
    <x v="1"/>
    <s v="Kvarts"/>
    <s v="Muhayyo Isaeva"/>
    <x v="9"/>
    <s v="Copier"/>
    <n v="617"/>
    <n v="6"/>
    <n v="3702"/>
  </r>
  <r>
    <s v="00190"/>
    <d v="2019-11-23T00:00:00"/>
    <x v="1"/>
    <s v="Kvarts"/>
    <s v="Muhayyo Isaeva"/>
    <x v="9"/>
    <s v="Copier"/>
    <n v="1057"/>
    <n v="2"/>
    <n v="2114"/>
  </r>
  <r>
    <s v="00191"/>
    <d v="2019-12-02T00:00:00"/>
    <x v="1"/>
    <s v="Hamkorbank"/>
    <s v="Muhayyo Isaeva"/>
    <x v="9"/>
    <s v="Book"/>
    <n v="18"/>
    <n v="73"/>
    <n v="1314"/>
  </r>
  <r>
    <s v="00192"/>
    <d v="2019-12-02T00:00:00"/>
    <x v="1"/>
    <s v="NBU"/>
    <s v="Iroda To'laganova"/>
    <x v="9"/>
    <s v="Book"/>
    <n v="42"/>
    <n v="40"/>
    <n v="1680"/>
  </r>
  <r>
    <s v="00193"/>
    <d v="2019-12-04T00:00:00"/>
    <x v="1"/>
    <s v="Navoi Azot"/>
    <s v="Iroda To'laganova"/>
    <x v="9"/>
    <s v="Book"/>
    <n v="40"/>
    <n v="31"/>
    <n v="1240"/>
  </r>
  <r>
    <s v="00194"/>
    <d v="2019-12-04T00:00:00"/>
    <x v="1"/>
    <s v="Hamkorbank"/>
    <s v="Iroda To'laganova"/>
    <x v="9"/>
    <s v="Book"/>
    <n v="23"/>
    <n v="38"/>
    <n v="874"/>
  </r>
  <r>
    <s v="00195"/>
    <d v="2019-12-11T00:00:00"/>
    <x v="1"/>
    <s v="Navoi Azot"/>
    <s v="Iroda To'laganova"/>
    <x v="9"/>
    <s v="Book"/>
    <n v="43"/>
    <n v="45"/>
    <n v="1935"/>
  </r>
  <r>
    <s v="00196"/>
    <d v="2019-12-27T00:00:00"/>
    <x v="1"/>
    <s v="Artel"/>
    <s v="Iroda To'laganova"/>
    <x v="9"/>
    <s v="Book"/>
    <n v="41"/>
    <n v="92"/>
    <n v="3772"/>
  </r>
  <r>
    <s v="00197"/>
    <d v="2019-12-27T00:00:00"/>
    <x v="1"/>
    <s v="Kvarts"/>
    <s v="Iroda To'laganova"/>
    <x v="9"/>
    <s v="Book"/>
    <n v="34"/>
    <n v="32"/>
    <n v="1088"/>
  </r>
  <r>
    <s v="00198"/>
    <d v="2019-12-27T00:00:00"/>
    <x v="1"/>
    <s v="Akfa"/>
    <s v="Sanjar Ahmedov"/>
    <x v="9"/>
    <s v="Book"/>
    <n v="15"/>
    <n v="47"/>
    <n v="705"/>
  </r>
  <r>
    <s v="00199"/>
    <d v="2019-12-27T00:00:00"/>
    <x v="1"/>
    <s v="Kvarts"/>
    <s v="Sanjar Ahmedov"/>
    <x v="9"/>
    <s v="Book"/>
    <n v="13"/>
    <n v="33"/>
    <n v="429"/>
  </r>
  <r>
    <s v="00200"/>
    <d v="2019-12-27T00:00:00"/>
    <x v="1"/>
    <s v="NBU"/>
    <s v="Sanjar Ahmedov"/>
    <x v="9"/>
    <s v="Book"/>
    <n v="29"/>
    <n v="79"/>
    <n v="22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7F939-5054-429A-A98C-A353B17492E3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D13" firstHeaderRow="1" firstDataRow="2" firstDataCol="1"/>
  <pivotFields count="10">
    <pivotField showAll="0"/>
    <pivotField numFmtId="166" showAll="0"/>
    <pivotField axis="axisCol" numFmtId="49" showAll="0">
      <items count="3">
        <item x="0"/>
        <item x="1"/>
        <item t="default"/>
      </items>
    </pivotField>
    <pivotField showAll="0"/>
    <pivotField showAll="0"/>
    <pivotField axis="axisRow" showAll="0">
      <items count="11">
        <item x="4"/>
        <item x="2"/>
        <item x="5"/>
        <item x="7"/>
        <item x="3"/>
        <item x="6"/>
        <item x="9"/>
        <item x="0"/>
        <item x="8"/>
        <item x="1"/>
        <item t="default"/>
      </items>
    </pivotField>
    <pivotField showAll="0"/>
    <pivotField numFmtId="165" showAll="0"/>
    <pivotField numFmtId="1" showAll="0"/>
    <pivotField dataField="1" numFmtId="165"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Revenue" fld="9" baseField="0" baseItem="0"/>
  </dataFields>
  <chartFormats count="2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webextension1.xml><?xml version="1.0" encoding="utf-8"?>
<we:webextension xmlns:we="http://schemas.microsoft.com/office/webextensions/webextension/2010/11" id="{E2A11737-CC00-4F56-B86D-852E7585F154}">
  <we:reference id="wa103304320" version="1.1.0.0" store="en-US" storeType="OMEX"/>
  <we:alternateReferences>
    <we:reference id="WA103304320" version="1.1.0.0" store="WA103304320" storeType="OMEX"/>
  </we:alternateReferences>
  <we:properties>
    <we:property name="colorMin" value="&quot;#93c47d&quot;"/>
    <we:property name="colorMid" value="&quot;#6aa84f&quot;"/>
    <we:property name="colorMax" value="&quot;#078709&quot;"/>
    <we:property name="backgroundColor" value="&quot;silver&quot;"/>
    <we:property name="transX" value="null"/>
    <we:property name="transY" value="null"/>
    <we:property name="scale" value="null"/>
    <we:property name="dataLabels" value="false"/>
    <we:property name="legend" value="&quot;1&quot;"/>
    <we:property name="theme" value="&quot;custom&quot;"/>
    <we:property name="title" value="&quot;Top Export Destinations of Uzbekistan&quot;"/>
    <we:property name="iState" value="&quot;0&quot;"/>
    <we:property name="iValue" value="&quot;1&quot;"/>
    <we:property name="mapType" value="&quot;world_mill&quot;"/>
  </we:properties>
  <we:bindings>
    <we:binding id="binding1" type="matrix" appref="{AB93F1B5-FD28-48AB-9239-DC91E3C583EF}"/>
  </we:bindings>
  <we:snapshot xmlns:r="http://schemas.openxmlformats.org/officeDocument/2006/relationships" r:embed="rId1"/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workbookViewId="0">
      <selection activeCell="B21" sqref="B21"/>
    </sheetView>
  </sheetViews>
  <sheetFormatPr defaultRowHeight="14.4" x14ac:dyDescent="0.3"/>
  <cols>
    <col min="1" max="1" width="26.109375" customWidth="1"/>
    <col min="2" max="9" width="9.109375" customWidth="1"/>
  </cols>
  <sheetData>
    <row r="1" spans="1:11" x14ac:dyDescent="0.3">
      <c r="A1" s="33" t="s">
        <v>267</v>
      </c>
    </row>
    <row r="3" spans="1:11" ht="27.75" customHeight="1" x14ac:dyDescent="0.3">
      <c r="A3" s="34" t="s">
        <v>13</v>
      </c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1" x14ac:dyDescent="0.3">
      <c r="A4" s="1"/>
      <c r="B4" s="11">
        <v>2009</v>
      </c>
      <c r="C4" s="11">
        <v>2010</v>
      </c>
      <c r="D4" s="11">
        <v>2011</v>
      </c>
      <c r="E4" s="11">
        <v>2012</v>
      </c>
      <c r="F4" s="11">
        <v>2013</v>
      </c>
      <c r="G4" s="11">
        <v>2014</v>
      </c>
      <c r="H4" s="11">
        <v>2015</v>
      </c>
      <c r="I4" s="11">
        <v>2016</v>
      </c>
      <c r="J4" s="11">
        <v>2017</v>
      </c>
      <c r="K4" s="12">
        <v>2018</v>
      </c>
    </row>
    <row r="5" spans="1:11" x14ac:dyDescent="0.3">
      <c r="A5" s="2" t="s">
        <v>2</v>
      </c>
      <c r="B5" s="5">
        <v>6.9</v>
      </c>
      <c r="C5" s="5">
        <v>7.4</v>
      </c>
      <c r="D5" s="5">
        <v>6.6</v>
      </c>
      <c r="E5" s="5">
        <v>6.4</v>
      </c>
      <c r="F5" s="5">
        <v>6.1923786109403816</v>
      </c>
      <c r="G5" s="5">
        <v>5.4362722704431246</v>
      </c>
      <c r="H5" s="5">
        <v>5.3201082055906221</v>
      </c>
      <c r="I5" s="5">
        <v>5.4066064286772324</v>
      </c>
      <c r="J5" s="5">
        <v>6</v>
      </c>
      <c r="K5" s="6">
        <v>9.5</v>
      </c>
    </row>
    <row r="6" spans="1:11" x14ac:dyDescent="0.3">
      <c r="A6" s="3" t="s">
        <v>3</v>
      </c>
      <c r="B6" s="7">
        <v>5.4</v>
      </c>
      <c r="C6" s="7">
        <v>5.8</v>
      </c>
      <c r="D6" s="7">
        <v>5.3</v>
      </c>
      <c r="E6" s="7">
        <v>5.3</v>
      </c>
      <c r="F6" s="7">
        <v>5.3549093183239522</v>
      </c>
      <c r="G6" s="7">
        <v>5.5888374914688708</v>
      </c>
      <c r="H6" s="7">
        <v>5.6112224448897798</v>
      </c>
      <c r="I6" s="7">
        <v>5.6355439208842348</v>
      </c>
      <c r="J6" s="7">
        <v>6</v>
      </c>
      <c r="K6" s="8">
        <v>9.6</v>
      </c>
    </row>
    <row r="7" spans="1:11" x14ac:dyDescent="0.3">
      <c r="A7" s="3" t="s">
        <v>4</v>
      </c>
      <c r="B7" s="7">
        <v>4.9000000000000004</v>
      </c>
      <c r="C7" s="7">
        <v>5.2</v>
      </c>
      <c r="D7" s="7">
        <v>4.9000000000000004</v>
      </c>
      <c r="E7" s="7">
        <v>4.7</v>
      </c>
      <c r="F7" s="7">
        <v>4.7596881182357738</v>
      </c>
      <c r="G7" s="7">
        <v>5.2158894645941274</v>
      </c>
      <c r="H7" s="7">
        <v>5.5249885373681789</v>
      </c>
      <c r="I7" s="7">
        <v>5.3988995873452543</v>
      </c>
      <c r="J7" s="7">
        <v>5.5</v>
      </c>
      <c r="K7" s="8">
        <v>9</v>
      </c>
    </row>
    <row r="8" spans="1:11" x14ac:dyDescent="0.3">
      <c r="A8" s="3" t="s">
        <v>5</v>
      </c>
      <c r="B8" s="7">
        <v>4.5</v>
      </c>
      <c r="C8" s="7">
        <v>5.7</v>
      </c>
      <c r="D8" s="7">
        <v>5.2</v>
      </c>
      <c r="E8" s="7">
        <v>5</v>
      </c>
      <c r="F8" s="7">
        <v>5.0766064486622451</v>
      </c>
      <c r="G8" s="7">
        <v>5.4304635761589406</v>
      </c>
      <c r="H8" s="7">
        <v>5.1568543188654923</v>
      </c>
      <c r="I8" s="7">
        <v>5.4076539101497501</v>
      </c>
      <c r="J8" s="7">
        <v>5</v>
      </c>
      <c r="K8" s="8">
        <v>9.4</v>
      </c>
    </row>
    <row r="9" spans="1:11" x14ac:dyDescent="0.3">
      <c r="A9" s="3" t="s">
        <v>6</v>
      </c>
      <c r="B9" s="7">
        <v>5.0999999999999996</v>
      </c>
      <c r="C9" s="7">
        <v>5.8</v>
      </c>
      <c r="D9" s="7">
        <v>5.3</v>
      </c>
      <c r="E9" s="7">
        <v>5.3</v>
      </c>
      <c r="F9" s="7">
        <v>5.156554042101539</v>
      </c>
      <c r="G9" s="7">
        <v>5.4584221748400852</v>
      </c>
      <c r="H9" s="7">
        <v>5.4628099173553712</v>
      </c>
      <c r="I9" s="7">
        <v>5.3007217321571769</v>
      </c>
      <c r="J9" s="7">
        <v>6.1</v>
      </c>
      <c r="K9" s="8">
        <v>9.6999999999999993</v>
      </c>
    </row>
    <row r="10" spans="1:11" x14ac:dyDescent="0.3">
      <c r="A10" s="3" t="s">
        <v>0</v>
      </c>
      <c r="B10" s="7">
        <v>5.0999999999999996</v>
      </c>
      <c r="C10" s="7">
        <v>4.9000000000000004</v>
      </c>
      <c r="D10" s="7">
        <v>4.7</v>
      </c>
      <c r="E10" s="7">
        <v>4.9000000000000004</v>
      </c>
      <c r="F10" s="7">
        <v>5.1537070524412298</v>
      </c>
      <c r="G10" s="7">
        <v>5.2062204192021637</v>
      </c>
      <c r="H10" s="7">
        <v>5.0495942290351667</v>
      </c>
      <c r="I10" s="7">
        <v>5.0427735254389914</v>
      </c>
      <c r="J10" s="7">
        <v>5.2</v>
      </c>
      <c r="K10" s="8">
        <v>8.6999999999999993</v>
      </c>
    </row>
    <row r="11" spans="1:11" x14ac:dyDescent="0.3">
      <c r="A11" s="3" t="s">
        <v>1</v>
      </c>
      <c r="B11" s="7">
        <v>5.4</v>
      </c>
      <c r="C11" s="7">
        <v>5.9</v>
      </c>
      <c r="D11" s="7">
        <v>5.4</v>
      </c>
      <c r="E11" s="7">
        <v>5.3</v>
      </c>
      <c r="F11" s="7">
        <v>5.2040709264505294</v>
      </c>
      <c r="G11" s="7">
        <v>5.2753916119252144</v>
      </c>
      <c r="H11" s="7">
        <v>5.2147539379708441</v>
      </c>
      <c r="I11" s="7">
        <v>5.3407694489082145</v>
      </c>
      <c r="J11" s="7">
        <v>5.8</v>
      </c>
      <c r="K11" s="8">
        <v>9.5</v>
      </c>
    </row>
    <row r="12" spans="1:11" x14ac:dyDescent="0.3">
      <c r="A12" s="3" t="s">
        <v>7</v>
      </c>
      <c r="B12" s="7">
        <v>5.4</v>
      </c>
      <c r="C12" s="7">
        <v>6</v>
      </c>
      <c r="D12" s="7">
        <v>5.5</v>
      </c>
      <c r="E12" s="7">
        <v>5.4</v>
      </c>
      <c r="F12" s="7">
        <v>5.3156609696546919</v>
      </c>
      <c r="G12" s="7">
        <v>5.5619150225574039</v>
      </c>
      <c r="H12" s="7">
        <v>5.6644453155625243</v>
      </c>
      <c r="I12" s="7">
        <v>5.7498254743923329</v>
      </c>
      <c r="J12" s="7">
        <v>6.5</v>
      </c>
      <c r="K12" s="8">
        <v>9.6999999999999993</v>
      </c>
    </row>
    <row r="13" spans="1:11" x14ac:dyDescent="0.3">
      <c r="A13" s="3" t="s">
        <v>14</v>
      </c>
      <c r="B13" s="7">
        <v>5</v>
      </c>
      <c r="C13" s="7">
        <v>5.8</v>
      </c>
      <c r="D13" s="7">
        <v>5.4</v>
      </c>
      <c r="E13" s="7">
        <v>5.2</v>
      </c>
      <c r="F13" s="7">
        <v>5.1806704397039622</v>
      </c>
      <c r="G13" s="7">
        <v>5.4535920293654954</v>
      </c>
      <c r="H13" s="7">
        <v>5.454545454545455</v>
      </c>
      <c r="I13" s="7">
        <v>5.577923990965334</v>
      </c>
      <c r="J13" s="7">
        <v>6.7</v>
      </c>
      <c r="K13" s="8">
        <v>9.5</v>
      </c>
    </row>
    <row r="14" spans="1:11" x14ac:dyDescent="0.3">
      <c r="A14" s="3" t="s">
        <v>8</v>
      </c>
      <c r="B14" s="7">
        <v>4.4000000000000004</v>
      </c>
      <c r="C14" s="7">
        <v>4.5</v>
      </c>
      <c r="D14" s="7">
        <v>4.3</v>
      </c>
      <c r="E14" s="7">
        <v>4</v>
      </c>
      <c r="F14" s="7">
        <v>4.2517482517482517</v>
      </c>
      <c r="G14" s="7">
        <v>4.6372067648663391</v>
      </c>
      <c r="H14" s="7">
        <v>4.9309130316987266</v>
      </c>
      <c r="I14" s="7">
        <v>4.3690637720488468</v>
      </c>
      <c r="J14" s="7">
        <v>5.0999999999999996</v>
      </c>
      <c r="K14" s="8">
        <v>9.6</v>
      </c>
    </row>
    <row r="15" spans="1:11" x14ac:dyDescent="0.3">
      <c r="A15" s="3" t="s">
        <v>9</v>
      </c>
      <c r="B15" s="7">
        <v>4.5</v>
      </c>
      <c r="C15" s="7">
        <v>4.0999999999999996</v>
      </c>
      <c r="D15" s="7">
        <v>3.8</v>
      </c>
      <c r="E15" s="7">
        <v>3.6</v>
      </c>
      <c r="F15" s="7">
        <v>3.6231323062630638</v>
      </c>
      <c r="G15" s="7">
        <v>3.8609746883264071</v>
      </c>
      <c r="H15" s="7">
        <v>4.0568862275449105</v>
      </c>
      <c r="I15" s="7">
        <v>4.0822407628128721</v>
      </c>
      <c r="J15" s="7">
        <v>5.2</v>
      </c>
      <c r="K15" s="8">
        <v>9</v>
      </c>
    </row>
    <row r="16" spans="1:11" x14ac:dyDescent="0.3">
      <c r="A16" s="3" t="s">
        <v>10</v>
      </c>
      <c r="B16" s="7">
        <v>5.5</v>
      </c>
      <c r="C16" s="7">
        <v>5.7</v>
      </c>
      <c r="D16" s="7">
        <v>5</v>
      </c>
      <c r="E16" s="7">
        <v>5</v>
      </c>
      <c r="F16" s="7">
        <v>4.8470744680851068</v>
      </c>
      <c r="G16" s="7">
        <v>5.3632658342498543</v>
      </c>
      <c r="H16" s="7">
        <v>5.449105608250048</v>
      </c>
      <c r="I16" s="7">
        <v>5.5305023174245269</v>
      </c>
      <c r="J16" s="7">
        <v>6.4274762342839615</v>
      </c>
      <c r="K16" s="8">
        <v>9.6999999999999993</v>
      </c>
    </row>
    <row r="17" spans="1:11" x14ac:dyDescent="0.3">
      <c r="A17" s="3" t="s">
        <v>11</v>
      </c>
      <c r="B17" s="7">
        <v>5.2</v>
      </c>
      <c r="C17" s="7">
        <v>5.5</v>
      </c>
      <c r="D17" s="7">
        <v>5.2</v>
      </c>
      <c r="E17" s="7">
        <v>5.3</v>
      </c>
      <c r="F17" s="7">
        <v>5.3189964157706093</v>
      </c>
      <c r="G17" s="7">
        <v>5.4611312343271106</v>
      </c>
      <c r="H17" s="7">
        <v>5.3704962610469069</v>
      </c>
      <c r="I17" s="7">
        <v>5.4856234265270958</v>
      </c>
      <c r="J17" s="7">
        <v>5.6899004267425317</v>
      </c>
      <c r="K17" s="8">
        <v>9.5</v>
      </c>
    </row>
    <row r="18" spans="1:11" x14ac:dyDescent="0.3">
      <c r="A18" s="4" t="s">
        <v>12</v>
      </c>
      <c r="B18" s="9">
        <v>3.4</v>
      </c>
      <c r="C18" s="9">
        <v>3.3</v>
      </c>
      <c r="D18" s="9">
        <v>3.4</v>
      </c>
      <c r="E18" s="9">
        <v>3.3</v>
      </c>
      <c r="F18" s="9">
        <v>3.4228410409414884</v>
      </c>
      <c r="G18" s="9">
        <v>3.6030080158664579</v>
      </c>
      <c r="H18" s="9">
        <v>3.8284208793018282</v>
      </c>
      <c r="I18" s="9">
        <v>3.6173368490441664</v>
      </c>
      <c r="J18" s="9">
        <v>4.5158134985327676</v>
      </c>
      <c r="K18" s="10">
        <v>7.9</v>
      </c>
    </row>
  </sheetData>
  <mergeCells count="1">
    <mergeCell ref="A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31"/>
  <sheetViews>
    <sheetView workbookViewId="0">
      <selection activeCell="C11" sqref="C11"/>
    </sheetView>
  </sheetViews>
  <sheetFormatPr defaultColWidth="12.6640625" defaultRowHeight="13.8" x14ac:dyDescent="0.3"/>
  <cols>
    <col min="1" max="1" width="12.6640625" style="16"/>
    <col min="2" max="2" width="11.44140625" style="16" customWidth="1"/>
    <col min="3" max="3" width="10.5546875" style="24" customWidth="1"/>
    <col min="4" max="4" width="16.6640625" style="16" bestFit="1" customWidth="1"/>
    <col min="5" max="5" width="17.6640625" style="16" bestFit="1" customWidth="1"/>
    <col min="6" max="6" width="13.5546875" style="16" customWidth="1"/>
    <col min="7" max="7" width="13" style="16" customWidth="1"/>
    <col min="8" max="8" width="12.6640625" style="20"/>
    <col min="9" max="9" width="12.6640625" style="26"/>
    <col min="10" max="10" width="14.109375" style="20" customWidth="1"/>
    <col min="11" max="16384" width="12.6640625" style="16"/>
  </cols>
  <sheetData>
    <row r="1" spans="1:11" x14ac:dyDescent="0.3">
      <c r="A1" s="13" t="s">
        <v>15</v>
      </c>
      <c r="B1" s="13" t="s">
        <v>16</v>
      </c>
      <c r="C1" s="14" t="s">
        <v>17</v>
      </c>
      <c r="D1" s="13" t="s">
        <v>18</v>
      </c>
      <c r="E1" s="13" t="s">
        <v>19</v>
      </c>
      <c r="F1" s="13" t="s">
        <v>20</v>
      </c>
      <c r="G1" s="13" t="s">
        <v>21</v>
      </c>
      <c r="H1" s="15" t="s">
        <v>22</v>
      </c>
      <c r="I1" s="13" t="s">
        <v>23</v>
      </c>
      <c r="J1" s="15" t="s">
        <v>24</v>
      </c>
    </row>
    <row r="2" spans="1:11" x14ac:dyDescent="0.3">
      <c r="A2" s="17" t="s">
        <v>25</v>
      </c>
      <c r="B2" s="18">
        <v>43101</v>
      </c>
      <c r="C2" s="17">
        <v>2018</v>
      </c>
      <c r="D2" s="19" t="s">
        <v>26</v>
      </c>
      <c r="E2" s="19" t="s">
        <v>27</v>
      </c>
      <c r="F2" s="19" t="s">
        <v>7</v>
      </c>
      <c r="G2" s="19" t="s">
        <v>28</v>
      </c>
      <c r="H2" s="20">
        <v>300</v>
      </c>
      <c r="I2" s="21">
        <v>1</v>
      </c>
      <c r="J2" s="20">
        <f>H2*I2</f>
        <v>300</v>
      </c>
      <c r="K2" s="22"/>
    </row>
    <row r="3" spans="1:11" x14ac:dyDescent="0.3">
      <c r="A3" s="17" t="s">
        <v>29</v>
      </c>
      <c r="B3" s="18">
        <v>43103</v>
      </c>
      <c r="C3" s="17">
        <v>2018</v>
      </c>
      <c r="D3" s="19" t="s">
        <v>30</v>
      </c>
      <c r="E3" s="19" t="s">
        <v>31</v>
      </c>
      <c r="F3" s="19" t="s">
        <v>9</v>
      </c>
      <c r="G3" s="19" t="s">
        <v>28</v>
      </c>
      <c r="H3" s="20">
        <v>400</v>
      </c>
      <c r="I3" s="21">
        <v>4</v>
      </c>
      <c r="J3" s="20">
        <f t="shared" ref="J3:J66" si="0">H3*I3</f>
        <v>1600</v>
      </c>
    </row>
    <row r="4" spans="1:11" x14ac:dyDescent="0.3">
      <c r="A4" s="17" t="s">
        <v>32</v>
      </c>
      <c r="B4" s="18">
        <v>43107</v>
      </c>
      <c r="C4" s="17">
        <v>2018</v>
      </c>
      <c r="D4" s="19" t="s">
        <v>33</v>
      </c>
      <c r="E4" s="19" t="s">
        <v>31</v>
      </c>
      <c r="F4" s="19" t="s">
        <v>9</v>
      </c>
      <c r="G4" s="19" t="s">
        <v>28</v>
      </c>
      <c r="H4" s="20">
        <v>400</v>
      </c>
      <c r="I4" s="21">
        <v>5</v>
      </c>
      <c r="J4" s="20">
        <f t="shared" si="0"/>
        <v>2000</v>
      </c>
    </row>
    <row r="5" spans="1:11" x14ac:dyDescent="0.3">
      <c r="A5" s="17" t="s">
        <v>34</v>
      </c>
      <c r="B5" s="18">
        <v>43108</v>
      </c>
      <c r="C5" s="17">
        <v>2018</v>
      </c>
      <c r="D5" s="19" t="s">
        <v>35</v>
      </c>
      <c r="E5" s="19" t="s">
        <v>36</v>
      </c>
      <c r="F5" s="19" t="s">
        <v>9</v>
      </c>
      <c r="G5" s="19" t="s">
        <v>28</v>
      </c>
      <c r="H5" s="20">
        <v>400</v>
      </c>
      <c r="I5" s="21">
        <v>3</v>
      </c>
      <c r="J5" s="20">
        <f t="shared" si="0"/>
        <v>1200</v>
      </c>
    </row>
    <row r="6" spans="1:11" x14ac:dyDescent="0.3">
      <c r="A6" s="17" t="s">
        <v>37</v>
      </c>
      <c r="B6" s="18">
        <v>43114</v>
      </c>
      <c r="C6" s="17">
        <v>2018</v>
      </c>
      <c r="D6" s="19" t="s">
        <v>33</v>
      </c>
      <c r="E6" s="19" t="s">
        <v>36</v>
      </c>
      <c r="F6" s="19" t="s">
        <v>9</v>
      </c>
      <c r="G6" s="19" t="s">
        <v>28</v>
      </c>
      <c r="H6" s="20">
        <v>400</v>
      </c>
      <c r="I6" s="21">
        <v>1</v>
      </c>
      <c r="J6" s="20">
        <f t="shared" si="0"/>
        <v>400</v>
      </c>
    </row>
    <row r="7" spans="1:11" x14ac:dyDescent="0.3">
      <c r="A7" s="17" t="s">
        <v>38</v>
      </c>
      <c r="B7" s="18">
        <v>43117</v>
      </c>
      <c r="C7" s="17">
        <v>2018</v>
      </c>
      <c r="D7" s="19" t="s">
        <v>33</v>
      </c>
      <c r="E7" s="19" t="s">
        <v>27</v>
      </c>
      <c r="F7" s="19" t="s">
        <v>9</v>
      </c>
      <c r="G7" s="19" t="s">
        <v>28</v>
      </c>
      <c r="H7" s="20">
        <v>400</v>
      </c>
      <c r="I7" s="21">
        <v>4</v>
      </c>
      <c r="J7" s="20">
        <f t="shared" si="0"/>
        <v>1600</v>
      </c>
    </row>
    <row r="8" spans="1:11" x14ac:dyDescent="0.3">
      <c r="A8" s="17" t="s">
        <v>39</v>
      </c>
      <c r="B8" s="18">
        <v>43119</v>
      </c>
      <c r="C8" s="17">
        <v>2018</v>
      </c>
      <c r="D8" s="19" t="s">
        <v>40</v>
      </c>
      <c r="E8" s="19" t="s">
        <v>31</v>
      </c>
      <c r="F8" s="19" t="s">
        <v>9</v>
      </c>
      <c r="G8" s="19" t="s">
        <v>41</v>
      </c>
      <c r="H8" s="20">
        <v>800</v>
      </c>
      <c r="I8" s="21">
        <v>5</v>
      </c>
      <c r="J8" s="20">
        <f t="shared" si="0"/>
        <v>4000</v>
      </c>
    </row>
    <row r="9" spans="1:11" x14ac:dyDescent="0.3">
      <c r="A9" s="17" t="s">
        <v>42</v>
      </c>
      <c r="B9" s="18">
        <v>43122</v>
      </c>
      <c r="C9" s="17">
        <v>2018</v>
      </c>
      <c r="D9" s="19" t="s">
        <v>33</v>
      </c>
      <c r="E9" s="19" t="s">
        <v>31</v>
      </c>
      <c r="F9" s="19" t="s">
        <v>7</v>
      </c>
      <c r="G9" s="19" t="s">
        <v>41</v>
      </c>
      <c r="H9" s="20">
        <v>1189</v>
      </c>
      <c r="I9" s="21">
        <v>3</v>
      </c>
      <c r="J9" s="20">
        <f t="shared" si="0"/>
        <v>3567</v>
      </c>
    </row>
    <row r="10" spans="1:11" x14ac:dyDescent="0.3">
      <c r="A10" s="17" t="s">
        <v>43</v>
      </c>
      <c r="B10" s="18">
        <v>43124</v>
      </c>
      <c r="C10" s="17">
        <v>2018</v>
      </c>
      <c r="D10" s="19" t="s">
        <v>44</v>
      </c>
      <c r="E10" s="19" t="s">
        <v>31</v>
      </c>
      <c r="F10" s="19" t="s">
        <v>7</v>
      </c>
      <c r="G10" s="19" t="s">
        <v>41</v>
      </c>
      <c r="H10" s="20">
        <v>992</v>
      </c>
      <c r="I10" s="21">
        <v>3</v>
      </c>
      <c r="J10" s="20">
        <f t="shared" si="0"/>
        <v>2976</v>
      </c>
    </row>
    <row r="11" spans="1:11" x14ac:dyDescent="0.3">
      <c r="A11" s="17" t="s">
        <v>45</v>
      </c>
      <c r="B11" s="18">
        <v>43124</v>
      </c>
      <c r="C11" s="17">
        <v>2018</v>
      </c>
      <c r="D11" s="19" t="s">
        <v>40</v>
      </c>
      <c r="E11" s="19" t="s">
        <v>31</v>
      </c>
      <c r="F11" s="19" t="s">
        <v>7</v>
      </c>
      <c r="G11" s="19" t="s">
        <v>41</v>
      </c>
      <c r="H11" s="20">
        <v>811</v>
      </c>
      <c r="I11" s="21">
        <v>8</v>
      </c>
      <c r="J11" s="20">
        <f t="shared" si="0"/>
        <v>6488</v>
      </c>
    </row>
    <row r="12" spans="1:11" x14ac:dyDescent="0.3">
      <c r="A12" s="17" t="s">
        <v>46</v>
      </c>
      <c r="B12" s="18">
        <v>43126</v>
      </c>
      <c r="C12" s="17">
        <v>2018</v>
      </c>
      <c r="D12" s="19" t="s">
        <v>47</v>
      </c>
      <c r="E12" s="19" t="s">
        <v>27</v>
      </c>
      <c r="F12" s="19" t="s">
        <v>7</v>
      </c>
      <c r="G12" s="19" t="s">
        <v>41</v>
      </c>
      <c r="H12" s="20">
        <v>966</v>
      </c>
      <c r="I12" s="21">
        <v>15</v>
      </c>
      <c r="J12" s="20">
        <f t="shared" si="0"/>
        <v>14490</v>
      </c>
    </row>
    <row r="13" spans="1:11" x14ac:dyDescent="0.3">
      <c r="A13" s="17" t="s">
        <v>48</v>
      </c>
      <c r="B13" s="18">
        <v>43127</v>
      </c>
      <c r="C13" s="17">
        <v>2018</v>
      </c>
      <c r="D13" s="19" t="s">
        <v>40</v>
      </c>
      <c r="E13" s="19" t="s">
        <v>31</v>
      </c>
      <c r="F13" s="19" t="s">
        <v>7</v>
      </c>
      <c r="G13" s="19" t="s">
        <v>41</v>
      </c>
      <c r="H13" s="20">
        <v>1106</v>
      </c>
      <c r="I13" s="21">
        <v>8</v>
      </c>
      <c r="J13" s="20">
        <f t="shared" si="0"/>
        <v>8848</v>
      </c>
    </row>
    <row r="14" spans="1:11" x14ac:dyDescent="0.3">
      <c r="A14" s="17" t="s">
        <v>49</v>
      </c>
      <c r="B14" s="18">
        <v>43128</v>
      </c>
      <c r="C14" s="17">
        <v>2018</v>
      </c>
      <c r="D14" s="19" t="s">
        <v>47</v>
      </c>
      <c r="E14" s="19" t="s">
        <v>31</v>
      </c>
      <c r="F14" s="19" t="s">
        <v>4</v>
      </c>
      <c r="G14" s="19" t="s">
        <v>50</v>
      </c>
      <c r="H14" s="20">
        <v>10</v>
      </c>
      <c r="I14" s="21">
        <v>56</v>
      </c>
      <c r="J14" s="20">
        <f t="shared" si="0"/>
        <v>560</v>
      </c>
    </row>
    <row r="15" spans="1:11" x14ac:dyDescent="0.3">
      <c r="A15" s="17" t="s">
        <v>51</v>
      </c>
      <c r="B15" s="18">
        <v>43130</v>
      </c>
      <c r="C15" s="17">
        <v>2018</v>
      </c>
      <c r="D15" s="19" t="s">
        <v>40</v>
      </c>
      <c r="E15" s="19" t="s">
        <v>27</v>
      </c>
      <c r="F15" s="19" t="s">
        <v>4</v>
      </c>
      <c r="G15" s="19" t="s">
        <v>50</v>
      </c>
      <c r="H15" s="20">
        <v>46</v>
      </c>
      <c r="I15" s="21">
        <v>52</v>
      </c>
      <c r="J15" s="20">
        <f t="shared" si="0"/>
        <v>2392</v>
      </c>
    </row>
    <row r="16" spans="1:11" x14ac:dyDescent="0.3">
      <c r="A16" s="17" t="s">
        <v>52</v>
      </c>
      <c r="B16" s="18">
        <v>43134</v>
      </c>
      <c r="C16" s="17">
        <v>2018</v>
      </c>
      <c r="D16" s="19" t="s">
        <v>33</v>
      </c>
      <c r="E16" s="19" t="s">
        <v>31</v>
      </c>
      <c r="F16" s="19" t="s">
        <v>4</v>
      </c>
      <c r="G16" s="19" t="s">
        <v>50</v>
      </c>
      <c r="H16" s="20">
        <v>26</v>
      </c>
      <c r="I16" s="21">
        <v>20</v>
      </c>
      <c r="J16" s="20">
        <f t="shared" si="0"/>
        <v>520</v>
      </c>
    </row>
    <row r="17" spans="1:10" x14ac:dyDescent="0.3">
      <c r="A17" s="17" t="s">
        <v>53</v>
      </c>
      <c r="B17" s="18">
        <v>43138</v>
      </c>
      <c r="C17" s="17">
        <v>2018</v>
      </c>
      <c r="D17" s="19" t="s">
        <v>47</v>
      </c>
      <c r="E17" s="19" t="s">
        <v>27</v>
      </c>
      <c r="F17" s="19" t="s">
        <v>4</v>
      </c>
      <c r="G17" s="19" t="s">
        <v>50</v>
      </c>
      <c r="H17" s="20">
        <v>11</v>
      </c>
      <c r="I17" s="21">
        <v>80</v>
      </c>
      <c r="J17" s="20">
        <f t="shared" si="0"/>
        <v>880</v>
      </c>
    </row>
    <row r="18" spans="1:10" x14ac:dyDescent="0.3">
      <c r="A18" s="17" t="s">
        <v>54</v>
      </c>
      <c r="B18" s="18">
        <v>43140</v>
      </c>
      <c r="C18" s="17">
        <v>2018</v>
      </c>
      <c r="D18" s="19" t="s">
        <v>44</v>
      </c>
      <c r="E18" s="19" t="s">
        <v>27</v>
      </c>
      <c r="F18" s="19" t="s">
        <v>4</v>
      </c>
      <c r="G18" s="19" t="s">
        <v>50</v>
      </c>
      <c r="H18" s="20">
        <v>35</v>
      </c>
      <c r="I18" s="21">
        <v>44</v>
      </c>
      <c r="J18" s="20">
        <f t="shared" si="0"/>
        <v>1540</v>
      </c>
    </row>
    <row r="19" spans="1:10" x14ac:dyDescent="0.3">
      <c r="A19" s="17" t="s">
        <v>55</v>
      </c>
      <c r="B19" s="18">
        <v>43149</v>
      </c>
      <c r="C19" s="17">
        <v>2018</v>
      </c>
      <c r="D19" s="19" t="s">
        <v>35</v>
      </c>
      <c r="E19" s="19" t="s">
        <v>27</v>
      </c>
      <c r="F19" s="19" t="s">
        <v>11</v>
      </c>
      <c r="G19" s="19" t="s">
        <v>50</v>
      </c>
      <c r="H19" s="20">
        <v>21</v>
      </c>
      <c r="I19" s="21">
        <v>58</v>
      </c>
      <c r="J19" s="20">
        <f t="shared" si="0"/>
        <v>1218</v>
      </c>
    </row>
    <row r="20" spans="1:10" x14ac:dyDescent="0.3">
      <c r="A20" s="17" t="s">
        <v>56</v>
      </c>
      <c r="B20" s="18">
        <v>43149</v>
      </c>
      <c r="C20" s="17">
        <v>2018</v>
      </c>
      <c r="D20" s="19" t="s">
        <v>44</v>
      </c>
      <c r="E20" s="19" t="s">
        <v>27</v>
      </c>
      <c r="F20" s="19" t="s">
        <v>11</v>
      </c>
      <c r="G20" s="19" t="s">
        <v>50</v>
      </c>
      <c r="H20" s="20">
        <v>25</v>
      </c>
      <c r="I20" s="21">
        <v>58</v>
      </c>
      <c r="J20" s="20">
        <f t="shared" si="0"/>
        <v>1450</v>
      </c>
    </row>
    <row r="21" spans="1:10" x14ac:dyDescent="0.3">
      <c r="A21" s="17" t="s">
        <v>57</v>
      </c>
      <c r="B21" s="18">
        <v>43162</v>
      </c>
      <c r="C21" s="17">
        <v>2018</v>
      </c>
      <c r="D21" s="19" t="s">
        <v>47</v>
      </c>
      <c r="E21" s="19" t="s">
        <v>27</v>
      </c>
      <c r="F21" s="19" t="s">
        <v>11</v>
      </c>
      <c r="G21" s="19" t="s">
        <v>58</v>
      </c>
      <c r="H21" s="20">
        <v>0.5</v>
      </c>
      <c r="I21" s="21">
        <v>135</v>
      </c>
      <c r="J21" s="20">
        <f t="shared" si="0"/>
        <v>67.5</v>
      </c>
    </row>
    <row r="22" spans="1:10" x14ac:dyDescent="0.3">
      <c r="A22" s="17" t="s">
        <v>59</v>
      </c>
      <c r="B22" s="18">
        <v>43165</v>
      </c>
      <c r="C22" s="17">
        <v>2018</v>
      </c>
      <c r="D22" s="19" t="s">
        <v>40</v>
      </c>
      <c r="E22" s="19" t="s">
        <v>27</v>
      </c>
      <c r="F22" s="19" t="s">
        <v>11</v>
      </c>
      <c r="G22" s="19" t="s">
        <v>58</v>
      </c>
      <c r="H22" s="20">
        <v>0.5</v>
      </c>
      <c r="I22" s="21">
        <v>56</v>
      </c>
      <c r="J22" s="20">
        <f t="shared" si="0"/>
        <v>28</v>
      </c>
    </row>
    <row r="23" spans="1:10" x14ac:dyDescent="0.3">
      <c r="A23" s="17" t="s">
        <v>60</v>
      </c>
      <c r="B23" s="18">
        <v>43174</v>
      </c>
      <c r="C23" s="17">
        <v>2018</v>
      </c>
      <c r="D23" s="19" t="s">
        <v>47</v>
      </c>
      <c r="E23" s="19" t="s">
        <v>61</v>
      </c>
      <c r="F23" s="19" t="s">
        <v>11</v>
      </c>
      <c r="G23" s="19" t="s">
        <v>58</v>
      </c>
      <c r="H23" s="20">
        <v>0.5</v>
      </c>
      <c r="I23" s="21">
        <v>214</v>
      </c>
      <c r="J23" s="20">
        <f t="shared" si="0"/>
        <v>107</v>
      </c>
    </row>
    <row r="24" spans="1:10" x14ac:dyDescent="0.3">
      <c r="A24" s="17" t="s">
        <v>62</v>
      </c>
      <c r="B24" s="18">
        <v>43176</v>
      </c>
      <c r="C24" s="17">
        <v>2018</v>
      </c>
      <c r="D24" s="19" t="s">
        <v>33</v>
      </c>
      <c r="E24" s="19" t="s">
        <v>61</v>
      </c>
      <c r="F24" s="19" t="s">
        <v>11</v>
      </c>
      <c r="G24" s="19" t="s">
        <v>58</v>
      </c>
      <c r="H24" s="20">
        <v>0.5</v>
      </c>
      <c r="I24" s="21">
        <v>122</v>
      </c>
      <c r="J24" s="20">
        <f t="shared" si="0"/>
        <v>61</v>
      </c>
    </row>
    <row r="25" spans="1:10" x14ac:dyDescent="0.3">
      <c r="A25" s="17" t="s">
        <v>63</v>
      </c>
      <c r="B25" s="18">
        <v>43178</v>
      </c>
      <c r="C25" s="17">
        <v>2018</v>
      </c>
      <c r="D25" s="19" t="s">
        <v>26</v>
      </c>
      <c r="E25" s="19" t="s">
        <v>61</v>
      </c>
      <c r="F25" s="19" t="s">
        <v>11</v>
      </c>
      <c r="G25" s="19" t="s">
        <v>58</v>
      </c>
      <c r="H25" s="20">
        <v>0.5</v>
      </c>
      <c r="I25" s="21">
        <v>225</v>
      </c>
      <c r="J25" s="20">
        <f t="shared" si="0"/>
        <v>112.5</v>
      </c>
    </row>
    <row r="26" spans="1:10" x14ac:dyDescent="0.3">
      <c r="A26" s="17" t="s">
        <v>64</v>
      </c>
      <c r="B26" s="18">
        <v>43180</v>
      </c>
      <c r="C26" s="17">
        <v>2018</v>
      </c>
      <c r="D26" s="19" t="s">
        <v>26</v>
      </c>
      <c r="E26" s="19" t="s">
        <v>61</v>
      </c>
      <c r="F26" s="19" t="s">
        <v>3</v>
      </c>
      <c r="G26" s="19" t="s">
        <v>58</v>
      </c>
      <c r="H26" s="20">
        <v>0.5</v>
      </c>
      <c r="I26" s="21">
        <v>230</v>
      </c>
      <c r="J26" s="20">
        <f t="shared" si="0"/>
        <v>115</v>
      </c>
    </row>
    <row r="27" spans="1:10" x14ac:dyDescent="0.3">
      <c r="A27" s="17" t="s">
        <v>65</v>
      </c>
      <c r="B27" s="18">
        <v>43185</v>
      </c>
      <c r="C27" s="17">
        <v>2018</v>
      </c>
      <c r="D27" s="19" t="s">
        <v>40</v>
      </c>
      <c r="E27" s="19" t="s">
        <v>61</v>
      </c>
      <c r="F27" s="19" t="s">
        <v>3</v>
      </c>
      <c r="G27" s="19" t="s">
        <v>58</v>
      </c>
      <c r="H27" s="20">
        <v>0.5</v>
      </c>
      <c r="I27" s="21">
        <v>152</v>
      </c>
      <c r="J27" s="20">
        <f t="shared" si="0"/>
        <v>76</v>
      </c>
    </row>
    <row r="28" spans="1:10" x14ac:dyDescent="0.3">
      <c r="A28" s="17" t="s">
        <v>66</v>
      </c>
      <c r="B28" s="18">
        <v>43189</v>
      </c>
      <c r="C28" s="17">
        <v>2018</v>
      </c>
      <c r="D28" s="19" t="s">
        <v>44</v>
      </c>
      <c r="E28" s="19" t="s">
        <v>61</v>
      </c>
      <c r="F28" s="19" t="s">
        <v>3</v>
      </c>
      <c r="G28" s="19" t="s">
        <v>67</v>
      </c>
      <c r="H28" s="20">
        <v>5</v>
      </c>
      <c r="I28" s="21">
        <v>80</v>
      </c>
      <c r="J28" s="20">
        <f t="shared" si="0"/>
        <v>400</v>
      </c>
    </row>
    <row r="29" spans="1:10" x14ac:dyDescent="0.3">
      <c r="A29" s="17" t="s">
        <v>68</v>
      </c>
      <c r="B29" s="18">
        <v>43190</v>
      </c>
      <c r="C29" s="17">
        <v>2018</v>
      </c>
      <c r="D29" s="19" t="s">
        <v>40</v>
      </c>
      <c r="E29" s="19" t="s">
        <v>61</v>
      </c>
      <c r="F29" s="19" t="s">
        <v>3</v>
      </c>
      <c r="G29" s="19" t="s">
        <v>67</v>
      </c>
      <c r="H29" s="20">
        <v>5</v>
      </c>
      <c r="I29" s="21">
        <v>183</v>
      </c>
      <c r="J29" s="20">
        <f t="shared" si="0"/>
        <v>915</v>
      </c>
    </row>
    <row r="30" spans="1:10" x14ac:dyDescent="0.3">
      <c r="A30" s="17" t="s">
        <v>69</v>
      </c>
      <c r="B30" s="18">
        <v>43191</v>
      </c>
      <c r="C30" s="17">
        <v>2018</v>
      </c>
      <c r="D30" s="19" t="s">
        <v>35</v>
      </c>
      <c r="E30" s="19" t="s">
        <v>36</v>
      </c>
      <c r="F30" s="19" t="s">
        <v>3</v>
      </c>
      <c r="G30" s="19" t="s">
        <v>67</v>
      </c>
      <c r="H30" s="20">
        <v>5</v>
      </c>
      <c r="I30" s="21">
        <v>168</v>
      </c>
      <c r="J30" s="20">
        <f t="shared" si="0"/>
        <v>840</v>
      </c>
    </row>
    <row r="31" spans="1:10" x14ac:dyDescent="0.3">
      <c r="A31" s="17" t="s">
        <v>70</v>
      </c>
      <c r="B31" s="18">
        <v>43191</v>
      </c>
      <c r="C31" s="17">
        <v>2018</v>
      </c>
      <c r="D31" s="19" t="s">
        <v>33</v>
      </c>
      <c r="E31" s="19" t="s">
        <v>36</v>
      </c>
      <c r="F31" s="19" t="s">
        <v>3</v>
      </c>
      <c r="G31" s="19" t="s">
        <v>67</v>
      </c>
      <c r="H31" s="20">
        <v>5</v>
      </c>
      <c r="I31" s="21">
        <v>173</v>
      </c>
      <c r="J31" s="20">
        <f t="shared" si="0"/>
        <v>865</v>
      </c>
    </row>
    <row r="32" spans="1:10" x14ac:dyDescent="0.3">
      <c r="A32" s="17" t="s">
        <v>71</v>
      </c>
      <c r="B32" s="18">
        <v>43193</v>
      </c>
      <c r="C32" s="17">
        <v>2018</v>
      </c>
      <c r="D32" s="19" t="s">
        <v>30</v>
      </c>
      <c r="E32" s="19" t="s">
        <v>36</v>
      </c>
      <c r="F32" s="19" t="s">
        <v>72</v>
      </c>
      <c r="G32" s="19" t="s">
        <v>67</v>
      </c>
      <c r="H32" s="20">
        <v>5</v>
      </c>
      <c r="I32" s="21">
        <v>59</v>
      </c>
      <c r="J32" s="20">
        <f t="shared" si="0"/>
        <v>295</v>
      </c>
    </row>
    <row r="33" spans="1:10" x14ac:dyDescent="0.3">
      <c r="A33" s="17" t="s">
        <v>73</v>
      </c>
      <c r="B33" s="18">
        <v>43196</v>
      </c>
      <c r="C33" s="17">
        <v>2018</v>
      </c>
      <c r="D33" s="19" t="s">
        <v>33</v>
      </c>
      <c r="E33" s="19" t="s">
        <v>36</v>
      </c>
      <c r="F33" s="19" t="s">
        <v>72</v>
      </c>
      <c r="G33" s="19" t="s">
        <v>67</v>
      </c>
      <c r="H33" s="20">
        <v>5</v>
      </c>
      <c r="I33" s="21">
        <v>111</v>
      </c>
      <c r="J33" s="20">
        <f t="shared" si="0"/>
        <v>555</v>
      </c>
    </row>
    <row r="34" spans="1:10" x14ac:dyDescent="0.3">
      <c r="A34" s="17" t="s">
        <v>74</v>
      </c>
      <c r="B34" s="18">
        <v>43197</v>
      </c>
      <c r="C34" s="17">
        <v>2018</v>
      </c>
      <c r="D34" s="19" t="s">
        <v>33</v>
      </c>
      <c r="E34" s="19" t="s">
        <v>36</v>
      </c>
      <c r="F34" s="19" t="s">
        <v>72</v>
      </c>
      <c r="G34" s="19" t="s">
        <v>67</v>
      </c>
      <c r="H34" s="20">
        <v>5</v>
      </c>
      <c r="I34" s="21">
        <v>152</v>
      </c>
      <c r="J34" s="20">
        <f t="shared" si="0"/>
        <v>760</v>
      </c>
    </row>
    <row r="35" spans="1:10" x14ac:dyDescent="0.3">
      <c r="A35" s="17" t="s">
        <v>75</v>
      </c>
      <c r="B35" s="18">
        <v>43198</v>
      </c>
      <c r="C35" s="17">
        <v>2018</v>
      </c>
      <c r="D35" s="19" t="s">
        <v>47</v>
      </c>
      <c r="E35" s="19" t="s">
        <v>76</v>
      </c>
      <c r="F35" s="19" t="s">
        <v>72</v>
      </c>
      <c r="G35" s="19" t="s">
        <v>67</v>
      </c>
      <c r="H35" s="20">
        <v>5</v>
      </c>
      <c r="I35" s="21">
        <v>17</v>
      </c>
      <c r="J35" s="20">
        <f t="shared" si="0"/>
        <v>85</v>
      </c>
    </row>
    <row r="36" spans="1:10" x14ac:dyDescent="0.3">
      <c r="A36" s="17" t="s">
        <v>77</v>
      </c>
      <c r="B36" s="18">
        <v>43202</v>
      </c>
      <c r="C36" s="17">
        <v>2018</v>
      </c>
      <c r="D36" s="19" t="s">
        <v>26</v>
      </c>
      <c r="E36" s="19" t="s">
        <v>76</v>
      </c>
      <c r="F36" s="19" t="s">
        <v>72</v>
      </c>
      <c r="G36" s="19" t="s">
        <v>67</v>
      </c>
      <c r="H36" s="20">
        <v>5</v>
      </c>
      <c r="I36" s="21">
        <v>130</v>
      </c>
      <c r="J36" s="20">
        <f t="shared" si="0"/>
        <v>650</v>
      </c>
    </row>
    <row r="37" spans="1:10" x14ac:dyDescent="0.3">
      <c r="A37" s="17" t="s">
        <v>78</v>
      </c>
      <c r="B37" s="18">
        <v>43203</v>
      </c>
      <c r="C37" s="17">
        <v>2018</v>
      </c>
      <c r="D37" s="19" t="s">
        <v>33</v>
      </c>
      <c r="E37" s="19" t="s">
        <v>76</v>
      </c>
      <c r="F37" s="19" t="s">
        <v>72</v>
      </c>
      <c r="G37" s="19" t="s">
        <v>79</v>
      </c>
      <c r="H37" s="20">
        <v>25</v>
      </c>
      <c r="I37" s="21">
        <v>2</v>
      </c>
      <c r="J37" s="20">
        <f t="shared" si="0"/>
        <v>50</v>
      </c>
    </row>
    <row r="38" spans="1:10" x14ac:dyDescent="0.3">
      <c r="A38" s="17" t="s">
        <v>80</v>
      </c>
      <c r="B38" s="18">
        <v>43205</v>
      </c>
      <c r="C38" s="17">
        <v>2018</v>
      </c>
      <c r="D38" s="19" t="s">
        <v>26</v>
      </c>
      <c r="E38" s="19" t="s">
        <v>76</v>
      </c>
      <c r="F38" s="19" t="s">
        <v>72</v>
      </c>
      <c r="G38" s="19" t="s">
        <v>79</v>
      </c>
      <c r="H38" s="20">
        <v>25</v>
      </c>
      <c r="I38" s="21">
        <v>2</v>
      </c>
      <c r="J38" s="20">
        <f t="shared" si="0"/>
        <v>50</v>
      </c>
    </row>
    <row r="39" spans="1:10" x14ac:dyDescent="0.3">
      <c r="A39" s="17" t="s">
        <v>81</v>
      </c>
      <c r="B39" s="18">
        <v>43206</v>
      </c>
      <c r="C39" s="17">
        <v>2018</v>
      </c>
      <c r="D39" s="19" t="s">
        <v>35</v>
      </c>
      <c r="E39" s="19" t="s">
        <v>76</v>
      </c>
      <c r="F39" s="19" t="s">
        <v>72</v>
      </c>
      <c r="G39" s="19" t="s">
        <v>79</v>
      </c>
      <c r="H39" s="20">
        <v>25</v>
      </c>
      <c r="I39" s="21">
        <v>4</v>
      </c>
      <c r="J39" s="20">
        <f t="shared" si="0"/>
        <v>100</v>
      </c>
    </row>
    <row r="40" spans="1:10" x14ac:dyDescent="0.3">
      <c r="A40" s="17" t="s">
        <v>82</v>
      </c>
      <c r="B40" s="18">
        <v>43208</v>
      </c>
      <c r="C40" s="17">
        <v>2018</v>
      </c>
      <c r="D40" s="19" t="s">
        <v>30</v>
      </c>
      <c r="E40" s="19" t="s">
        <v>76</v>
      </c>
      <c r="F40" s="19" t="s">
        <v>1</v>
      </c>
      <c r="G40" s="19" t="s">
        <v>79</v>
      </c>
      <c r="H40" s="20">
        <v>25</v>
      </c>
      <c r="I40" s="21">
        <v>4</v>
      </c>
      <c r="J40" s="20">
        <f t="shared" si="0"/>
        <v>100</v>
      </c>
    </row>
    <row r="41" spans="1:10" x14ac:dyDescent="0.3">
      <c r="A41" s="17" t="s">
        <v>83</v>
      </c>
      <c r="B41" s="18">
        <v>43208</v>
      </c>
      <c r="C41" s="17">
        <v>2018</v>
      </c>
      <c r="D41" s="19" t="s">
        <v>30</v>
      </c>
      <c r="E41" s="19" t="s">
        <v>76</v>
      </c>
      <c r="F41" s="19" t="s">
        <v>1</v>
      </c>
      <c r="G41" s="19" t="s">
        <v>79</v>
      </c>
      <c r="H41" s="20">
        <v>25</v>
      </c>
      <c r="I41" s="21">
        <v>4</v>
      </c>
      <c r="J41" s="20">
        <f t="shared" si="0"/>
        <v>100</v>
      </c>
    </row>
    <row r="42" spans="1:10" x14ac:dyDescent="0.3">
      <c r="A42" s="17" t="s">
        <v>84</v>
      </c>
      <c r="B42" s="18">
        <v>43213</v>
      </c>
      <c r="C42" s="17">
        <v>2018</v>
      </c>
      <c r="D42" s="19" t="s">
        <v>40</v>
      </c>
      <c r="E42" s="19" t="s">
        <v>27</v>
      </c>
      <c r="F42" s="19" t="s">
        <v>1</v>
      </c>
      <c r="G42" s="19" t="s">
        <v>79</v>
      </c>
      <c r="H42" s="20">
        <v>25</v>
      </c>
      <c r="I42" s="21">
        <v>6</v>
      </c>
      <c r="J42" s="20">
        <f t="shared" si="0"/>
        <v>150</v>
      </c>
    </row>
    <row r="43" spans="1:10" x14ac:dyDescent="0.3">
      <c r="A43" s="17" t="s">
        <v>85</v>
      </c>
      <c r="B43" s="18">
        <v>43222</v>
      </c>
      <c r="C43" s="17">
        <v>2018</v>
      </c>
      <c r="D43" s="19" t="s">
        <v>33</v>
      </c>
      <c r="E43" s="19" t="s">
        <v>76</v>
      </c>
      <c r="F43" s="19" t="s">
        <v>1</v>
      </c>
      <c r="G43" s="19" t="s">
        <v>79</v>
      </c>
      <c r="H43" s="20">
        <v>25</v>
      </c>
      <c r="I43" s="21">
        <v>3</v>
      </c>
      <c r="J43" s="20">
        <f t="shared" si="0"/>
        <v>75</v>
      </c>
    </row>
    <row r="44" spans="1:10" x14ac:dyDescent="0.3">
      <c r="A44" s="17" t="s">
        <v>86</v>
      </c>
      <c r="B44" s="18">
        <v>43228</v>
      </c>
      <c r="C44" s="17">
        <v>2018</v>
      </c>
      <c r="D44" s="19" t="s">
        <v>44</v>
      </c>
      <c r="E44" s="19" t="s">
        <v>27</v>
      </c>
      <c r="F44" s="19" t="s">
        <v>1</v>
      </c>
      <c r="G44" s="19" t="s">
        <v>79</v>
      </c>
      <c r="H44" s="20">
        <v>25</v>
      </c>
      <c r="I44" s="21">
        <v>6</v>
      </c>
      <c r="J44" s="20">
        <f t="shared" si="0"/>
        <v>150</v>
      </c>
    </row>
    <row r="45" spans="1:10" x14ac:dyDescent="0.3">
      <c r="A45" s="17" t="s">
        <v>87</v>
      </c>
      <c r="B45" s="18">
        <v>43249</v>
      </c>
      <c r="C45" s="17">
        <v>2018</v>
      </c>
      <c r="D45" s="19" t="s">
        <v>35</v>
      </c>
      <c r="E45" s="19" t="s">
        <v>27</v>
      </c>
      <c r="F45" s="19" t="s">
        <v>1</v>
      </c>
      <c r="G45" s="19" t="s">
        <v>79</v>
      </c>
      <c r="H45" s="20">
        <v>25</v>
      </c>
      <c r="I45" s="21">
        <v>7</v>
      </c>
      <c r="J45" s="20">
        <f t="shared" si="0"/>
        <v>175</v>
      </c>
    </row>
    <row r="46" spans="1:10" x14ac:dyDescent="0.3">
      <c r="A46" s="17" t="s">
        <v>88</v>
      </c>
      <c r="B46" s="18">
        <v>43254</v>
      </c>
      <c r="C46" s="17">
        <v>2018</v>
      </c>
      <c r="D46" s="19" t="s">
        <v>47</v>
      </c>
      <c r="E46" s="19" t="s">
        <v>27</v>
      </c>
      <c r="F46" s="19" t="s">
        <v>1</v>
      </c>
      <c r="G46" s="19" t="s">
        <v>79</v>
      </c>
      <c r="H46" s="20">
        <v>25</v>
      </c>
      <c r="I46" s="21">
        <v>10</v>
      </c>
      <c r="J46" s="20">
        <f t="shared" si="0"/>
        <v>250</v>
      </c>
    </row>
    <row r="47" spans="1:10" x14ac:dyDescent="0.3">
      <c r="A47" s="17" t="s">
        <v>89</v>
      </c>
      <c r="B47" s="18">
        <v>43256</v>
      </c>
      <c r="C47" s="17">
        <v>2018</v>
      </c>
      <c r="D47" s="19" t="s">
        <v>47</v>
      </c>
      <c r="E47" s="19" t="s">
        <v>76</v>
      </c>
      <c r="F47" s="19" t="s">
        <v>1</v>
      </c>
      <c r="G47" s="19" t="s">
        <v>79</v>
      </c>
      <c r="H47" s="20">
        <v>25</v>
      </c>
      <c r="I47" s="21">
        <v>8</v>
      </c>
      <c r="J47" s="20">
        <f t="shared" si="0"/>
        <v>200</v>
      </c>
    </row>
    <row r="48" spans="1:10" x14ac:dyDescent="0.3">
      <c r="A48" s="17" t="s">
        <v>90</v>
      </c>
      <c r="B48" s="18">
        <v>43259</v>
      </c>
      <c r="C48" s="17">
        <v>2018</v>
      </c>
      <c r="D48" s="19" t="s">
        <v>44</v>
      </c>
      <c r="E48" s="19" t="s">
        <v>76</v>
      </c>
      <c r="F48" s="19" t="s">
        <v>1</v>
      </c>
      <c r="G48" s="19" t="s">
        <v>91</v>
      </c>
      <c r="H48" s="20">
        <v>250</v>
      </c>
      <c r="I48" s="21">
        <v>3</v>
      </c>
      <c r="J48" s="20">
        <f t="shared" si="0"/>
        <v>750</v>
      </c>
    </row>
    <row r="49" spans="1:10" x14ac:dyDescent="0.3">
      <c r="A49" s="17" t="s">
        <v>92</v>
      </c>
      <c r="B49" s="18">
        <v>43262</v>
      </c>
      <c r="C49" s="17">
        <v>2018</v>
      </c>
      <c r="D49" s="19" t="s">
        <v>26</v>
      </c>
      <c r="E49" s="19" t="s">
        <v>76</v>
      </c>
      <c r="F49" s="19" t="s">
        <v>1</v>
      </c>
      <c r="G49" s="19" t="s">
        <v>91</v>
      </c>
      <c r="H49" s="20">
        <v>827</v>
      </c>
      <c r="I49" s="21">
        <v>3</v>
      </c>
      <c r="J49" s="20">
        <f t="shared" si="0"/>
        <v>2481</v>
      </c>
    </row>
    <row r="50" spans="1:10" x14ac:dyDescent="0.3">
      <c r="A50" s="17" t="s">
        <v>93</v>
      </c>
      <c r="B50" s="18">
        <v>43273</v>
      </c>
      <c r="C50" s="17">
        <v>2018</v>
      </c>
      <c r="D50" s="19" t="s">
        <v>40</v>
      </c>
      <c r="E50" s="19" t="s">
        <v>76</v>
      </c>
      <c r="F50" s="19" t="s">
        <v>1</v>
      </c>
      <c r="G50" s="19" t="s">
        <v>91</v>
      </c>
      <c r="H50" s="20">
        <v>323</v>
      </c>
      <c r="I50" s="21">
        <v>3</v>
      </c>
      <c r="J50" s="20">
        <f t="shared" si="0"/>
        <v>969</v>
      </c>
    </row>
    <row r="51" spans="1:10" x14ac:dyDescent="0.3">
      <c r="A51" s="17" t="s">
        <v>94</v>
      </c>
      <c r="B51" s="18">
        <v>43279</v>
      </c>
      <c r="C51" s="17">
        <v>2018</v>
      </c>
      <c r="D51" s="19" t="s">
        <v>30</v>
      </c>
      <c r="E51" s="19" t="s">
        <v>76</v>
      </c>
      <c r="F51" s="19" t="s">
        <v>1</v>
      </c>
      <c r="G51" s="19" t="s">
        <v>91</v>
      </c>
      <c r="H51" s="20">
        <v>556</v>
      </c>
      <c r="I51" s="21">
        <v>3</v>
      </c>
      <c r="J51" s="20">
        <f t="shared" si="0"/>
        <v>1668</v>
      </c>
    </row>
    <row r="52" spans="1:10" x14ac:dyDescent="0.3">
      <c r="A52" s="17" t="s">
        <v>95</v>
      </c>
      <c r="B52" s="18">
        <v>43287</v>
      </c>
      <c r="C52" s="17">
        <v>2018</v>
      </c>
      <c r="D52" s="19" t="s">
        <v>33</v>
      </c>
      <c r="E52" s="19" t="s">
        <v>27</v>
      </c>
      <c r="F52" s="19" t="s">
        <v>1</v>
      </c>
      <c r="G52" s="19" t="s">
        <v>91</v>
      </c>
      <c r="H52" s="20">
        <v>470</v>
      </c>
      <c r="I52" s="21">
        <v>3</v>
      </c>
      <c r="J52" s="20">
        <f t="shared" si="0"/>
        <v>1410</v>
      </c>
    </row>
    <row r="53" spans="1:10" x14ac:dyDescent="0.3">
      <c r="A53" s="17" t="s">
        <v>96</v>
      </c>
      <c r="B53" s="18">
        <v>43289</v>
      </c>
      <c r="C53" s="17">
        <v>2018</v>
      </c>
      <c r="D53" s="19" t="s">
        <v>33</v>
      </c>
      <c r="E53" s="19" t="s">
        <v>97</v>
      </c>
      <c r="F53" s="19" t="s">
        <v>6</v>
      </c>
      <c r="G53" s="19" t="s">
        <v>91</v>
      </c>
      <c r="H53" s="20">
        <v>603</v>
      </c>
      <c r="I53" s="21">
        <v>3</v>
      </c>
      <c r="J53" s="20">
        <f t="shared" si="0"/>
        <v>1809</v>
      </c>
    </row>
    <row r="54" spans="1:10" x14ac:dyDescent="0.3">
      <c r="A54" s="17" t="s">
        <v>98</v>
      </c>
      <c r="B54" s="18">
        <v>43290</v>
      </c>
      <c r="C54" s="17">
        <v>2018</v>
      </c>
      <c r="D54" s="19" t="s">
        <v>47</v>
      </c>
      <c r="E54" s="19" t="s">
        <v>97</v>
      </c>
      <c r="F54" s="19" t="s">
        <v>6</v>
      </c>
      <c r="G54" s="19" t="s">
        <v>99</v>
      </c>
      <c r="H54" s="20">
        <v>400</v>
      </c>
      <c r="I54" s="21">
        <v>2</v>
      </c>
      <c r="J54" s="20">
        <f t="shared" si="0"/>
        <v>800</v>
      </c>
    </row>
    <row r="55" spans="1:10" x14ac:dyDescent="0.3">
      <c r="A55" s="17" t="s">
        <v>100</v>
      </c>
      <c r="B55" s="18">
        <v>43292</v>
      </c>
      <c r="C55" s="17">
        <v>2018</v>
      </c>
      <c r="D55" s="19" t="s">
        <v>26</v>
      </c>
      <c r="E55" s="19" t="s">
        <v>27</v>
      </c>
      <c r="F55" s="19" t="s">
        <v>6</v>
      </c>
      <c r="G55" s="19" t="s">
        <v>101</v>
      </c>
      <c r="H55" s="20">
        <v>150</v>
      </c>
      <c r="I55" s="21">
        <v>1</v>
      </c>
      <c r="J55" s="20">
        <f t="shared" si="0"/>
        <v>150</v>
      </c>
    </row>
    <row r="56" spans="1:10" x14ac:dyDescent="0.3">
      <c r="A56" s="17" t="s">
        <v>102</v>
      </c>
      <c r="B56" s="18">
        <v>43298</v>
      </c>
      <c r="C56" s="17">
        <v>2018</v>
      </c>
      <c r="D56" s="19" t="s">
        <v>44</v>
      </c>
      <c r="E56" s="19" t="s">
        <v>97</v>
      </c>
      <c r="F56" s="19" t="s">
        <v>6</v>
      </c>
      <c r="G56" s="19" t="s">
        <v>101</v>
      </c>
      <c r="H56" s="20">
        <v>150</v>
      </c>
      <c r="I56" s="21">
        <v>2</v>
      </c>
      <c r="J56" s="20">
        <f t="shared" si="0"/>
        <v>300</v>
      </c>
    </row>
    <row r="57" spans="1:10" x14ac:dyDescent="0.3">
      <c r="A57" s="17" t="s">
        <v>103</v>
      </c>
      <c r="B57" s="18">
        <v>43298</v>
      </c>
      <c r="C57" s="17">
        <v>2018</v>
      </c>
      <c r="D57" s="19" t="s">
        <v>35</v>
      </c>
      <c r="E57" s="19" t="s">
        <v>97</v>
      </c>
      <c r="F57" s="19" t="s">
        <v>6</v>
      </c>
      <c r="G57" s="19" t="s">
        <v>101</v>
      </c>
      <c r="H57" s="20">
        <v>150</v>
      </c>
      <c r="I57" s="21">
        <v>2</v>
      </c>
      <c r="J57" s="20">
        <f t="shared" si="0"/>
        <v>300</v>
      </c>
    </row>
    <row r="58" spans="1:10" x14ac:dyDescent="0.3">
      <c r="A58" s="17" t="s">
        <v>104</v>
      </c>
      <c r="B58" s="18">
        <v>43299</v>
      </c>
      <c r="C58" s="17">
        <v>2018</v>
      </c>
      <c r="D58" s="19" t="s">
        <v>47</v>
      </c>
      <c r="E58" s="19" t="s">
        <v>97</v>
      </c>
      <c r="F58" s="19" t="s">
        <v>6</v>
      </c>
      <c r="G58" s="19" t="s">
        <v>101</v>
      </c>
      <c r="H58" s="20">
        <v>200</v>
      </c>
      <c r="I58" s="21">
        <v>5</v>
      </c>
      <c r="J58" s="20">
        <f t="shared" si="0"/>
        <v>1000</v>
      </c>
    </row>
    <row r="59" spans="1:10" x14ac:dyDescent="0.3">
      <c r="A59" s="17" t="s">
        <v>105</v>
      </c>
      <c r="B59" s="18">
        <v>43305</v>
      </c>
      <c r="C59" s="17">
        <v>2018</v>
      </c>
      <c r="D59" s="19" t="s">
        <v>26</v>
      </c>
      <c r="E59" s="19" t="s">
        <v>97</v>
      </c>
      <c r="F59" s="19" t="s">
        <v>6</v>
      </c>
      <c r="G59" s="19" t="s">
        <v>101</v>
      </c>
      <c r="H59" s="20">
        <v>200</v>
      </c>
      <c r="I59" s="21">
        <v>8</v>
      </c>
      <c r="J59" s="20">
        <f t="shared" si="0"/>
        <v>1600</v>
      </c>
    </row>
    <row r="60" spans="1:10" x14ac:dyDescent="0.3">
      <c r="A60" s="17" t="s">
        <v>106</v>
      </c>
      <c r="B60" s="18">
        <v>43305</v>
      </c>
      <c r="C60" s="17">
        <v>2018</v>
      </c>
      <c r="D60" s="19" t="s">
        <v>26</v>
      </c>
      <c r="E60" s="19" t="s">
        <v>97</v>
      </c>
      <c r="F60" s="19" t="s">
        <v>6</v>
      </c>
      <c r="G60" s="19" t="s">
        <v>91</v>
      </c>
      <c r="H60" s="20">
        <v>910</v>
      </c>
      <c r="I60" s="21">
        <v>3</v>
      </c>
      <c r="J60" s="20">
        <f t="shared" si="0"/>
        <v>2730</v>
      </c>
    </row>
    <row r="61" spans="1:10" x14ac:dyDescent="0.3">
      <c r="A61" s="17" t="s">
        <v>107</v>
      </c>
      <c r="B61" s="18">
        <v>43305</v>
      </c>
      <c r="C61" s="17">
        <v>2018</v>
      </c>
      <c r="D61" s="19" t="s">
        <v>33</v>
      </c>
      <c r="E61" s="19" t="s">
        <v>27</v>
      </c>
      <c r="F61" s="19" t="s">
        <v>6</v>
      </c>
      <c r="G61" s="19" t="s">
        <v>91</v>
      </c>
      <c r="H61" s="20">
        <v>540</v>
      </c>
      <c r="I61" s="21">
        <v>3</v>
      </c>
      <c r="J61" s="20">
        <f t="shared" si="0"/>
        <v>1620</v>
      </c>
    </row>
    <row r="62" spans="1:10" x14ac:dyDescent="0.3">
      <c r="A62" s="17" t="s">
        <v>108</v>
      </c>
      <c r="B62" s="18">
        <v>43305</v>
      </c>
      <c r="C62" s="17">
        <v>2018</v>
      </c>
      <c r="D62" s="19" t="s">
        <v>44</v>
      </c>
      <c r="E62" s="19" t="s">
        <v>27</v>
      </c>
      <c r="F62" s="19" t="s">
        <v>6</v>
      </c>
      <c r="G62" s="19" t="s">
        <v>91</v>
      </c>
      <c r="H62" s="20">
        <v>743</v>
      </c>
      <c r="I62" s="21">
        <v>1</v>
      </c>
      <c r="J62" s="20">
        <f t="shared" si="0"/>
        <v>743</v>
      </c>
    </row>
    <row r="63" spans="1:10" x14ac:dyDescent="0.3">
      <c r="A63" s="17" t="s">
        <v>109</v>
      </c>
      <c r="B63" s="18">
        <v>43305</v>
      </c>
      <c r="C63" s="17">
        <v>2018</v>
      </c>
      <c r="D63" s="19" t="s">
        <v>33</v>
      </c>
      <c r="E63" s="19" t="s">
        <v>27</v>
      </c>
      <c r="F63" s="19" t="s">
        <v>6</v>
      </c>
      <c r="G63" s="19" t="s">
        <v>91</v>
      </c>
      <c r="H63" s="20">
        <v>454</v>
      </c>
      <c r="I63" s="21">
        <v>1</v>
      </c>
      <c r="J63" s="20">
        <f t="shared" si="0"/>
        <v>454</v>
      </c>
    </row>
    <row r="64" spans="1:10" x14ac:dyDescent="0.3">
      <c r="A64" s="17" t="s">
        <v>110</v>
      </c>
      <c r="B64" s="18">
        <v>43324</v>
      </c>
      <c r="C64" s="17">
        <v>2018</v>
      </c>
      <c r="D64" s="19" t="s">
        <v>30</v>
      </c>
      <c r="E64" s="19" t="s">
        <v>27</v>
      </c>
      <c r="F64" s="19" t="s">
        <v>6</v>
      </c>
      <c r="G64" s="19" t="s">
        <v>91</v>
      </c>
      <c r="H64" s="20">
        <v>500</v>
      </c>
      <c r="I64" s="21">
        <v>4</v>
      </c>
      <c r="J64" s="20">
        <f t="shared" si="0"/>
        <v>2000</v>
      </c>
    </row>
    <row r="65" spans="1:10" x14ac:dyDescent="0.3">
      <c r="A65" s="17" t="s">
        <v>111</v>
      </c>
      <c r="B65" s="18">
        <v>43334</v>
      </c>
      <c r="C65" s="17">
        <v>2018</v>
      </c>
      <c r="D65" s="19" t="s">
        <v>40</v>
      </c>
      <c r="E65" s="19" t="s">
        <v>36</v>
      </c>
      <c r="F65" s="19" t="s">
        <v>9</v>
      </c>
      <c r="G65" s="19" t="s">
        <v>91</v>
      </c>
      <c r="H65" s="20">
        <v>940</v>
      </c>
      <c r="I65" s="21">
        <v>2</v>
      </c>
      <c r="J65" s="20">
        <f t="shared" si="0"/>
        <v>1880</v>
      </c>
    </row>
    <row r="66" spans="1:10" x14ac:dyDescent="0.3">
      <c r="A66" s="17" t="s">
        <v>112</v>
      </c>
      <c r="B66" s="18">
        <v>43335</v>
      </c>
      <c r="C66" s="17">
        <v>2018</v>
      </c>
      <c r="D66" s="19" t="s">
        <v>47</v>
      </c>
      <c r="E66" s="19" t="s">
        <v>36</v>
      </c>
      <c r="F66" s="19" t="s">
        <v>9</v>
      </c>
      <c r="G66" s="19" t="s">
        <v>91</v>
      </c>
      <c r="H66" s="20">
        <v>199</v>
      </c>
      <c r="I66" s="21">
        <v>2</v>
      </c>
      <c r="J66" s="20">
        <f t="shared" si="0"/>
        <v>398</v>
      </c>
    </row>
    <row r="67" spans="1:10" x14ac:dyDescent="0.3">
      <c r="A67" s="17" t="s">
        <v>113</v>
      </c>
      <c r="B67" s="18">
        <v>43341</v>
      </c>
      <c r="C67" s="17">
        <v>2018</v>
      </c>
      <c r="D67" s="19" t="s">
        <v>40</v>
      </c>
      <c r="E67" s="19" t="s">
        <v>36</v>
      </c>
      <c r="F67" s="19" t="s">
        <v>9</v>
      </c>
      <c r="G67" s="19" t="s">
        <v>114</v>
      </c>
      <c r="H67" s="20">
        <v>1285</v>
      </c>
      <c r="I67" s="21">
        <v>2</v>
      </c>
      <c r="J67" s="20">
        <f t="shared" ref="J67:J130" si="1">H67*I67</f>
        <v>2570</v>
      </c>
    </row>
    <row r="68" spans="1:10" x14ac:dyDescent="0.3">
      <c r="A68" s="17" t="s">
        <v>115</v>
      </c>
      <c r="B68" s="18">
        <v>43342</v>
      </c>
      <c r="C68" s="17">
        <v>2018</v>
      </c>
      <c r="D68" s="19" t="s">
        <v>47</v>
      </c>
      <c r="E68" s="19" t="s">
        <v>36</v>
      </c>
      <c r="F68" s="19" t="s">
        <v>9</v>
      </c>
      <c r="G68" s="19" t="s">
        <v>114</v>
      </c>
      <c r="H68" s="20">
        <v>1231</v>
      </c>
      <c r="I68" s="21">
        <v>2</v>
      </c>
      <c r="J68" s="20">
        <f t="shared" si="1"/>
        <v>2462</v>
      </c>
    </row>
    <row r="69" spans="1:10" x14ac:dyDescent="0.3">
      <c r="A69" s="17" t="s">
        <v>116</v>
      </c>
      <c r="B69" s="18">
        <v>43344</v>
      </c>
      <c r="C69" s="17">
        <v>2018</v>
      </c>
      <c r="D69" s="19" t="s">
        <v>35</v>
      </c>
      <c r="E69" s="19" t="s">
        <v>27</v>
      </c>
      <c r="F69" s="19" t="s">
        <v>9</v>
      </c>
      <c r="G69" s="19" t="s">
        <v>114</v>
      </c>
      <c r="H69" s="20">
        <v>892</v>
      </c>
      <c r="I69" s="21">
        <v>4</v>
      </c>
      <c r="J69" s="20">
        <f t="shared" si="1"/>
        <v>3568</v>
      </c>
    </row>
    <row r="70" spans="1:10" x14ac:dyDescent="0.3">
      <c r="A70" s="17" t="s">
        <v>117</v>
      </c>
      <c r="B70" s="18">
        <v>43345</v>
      </c>
      <c r="C70" s="17">
        <v>2018</v>
      </c>
      <c r="D70" s="19" t="s">
        <v>44</v>
      </c>
      <c r="E70" s="19" t="s">
        <v>27</v>
      </c>
      <c r="F70" s="19" t="s">
        <v>9</v>
      </c>
      <c r="G70" s="19" t="s">
        <v>114</v>
      </c>
      <c r="H70" s="20">
        <v>1088</v>
      </c>
      <c r="I70" s="21">
        <v>2</v>
      </c>
      <c r="J70" s="20">
        <f t="shared" si="1"/>
        <v>2176</v>
      </c>
    </row>
    <row r="71" spans="1:10" x14ac:dyDescent="0.3">
      <c r="A71" s="17" t="s">
        <v>118</v>
      </c>
      <c r="B71" s="18">
        <v>43345</v>
      </c>
      <c r="C71" s="17">
        <v>2018</v>
      </c>
      <c r="D71" s="19" t="s">
        <v>26</v>
      </c>
      <c r="E71" s="19" t="s">
        <v>97</v>
      </c>
      <c r="F71" s="19" t="s">
        <v>9</v>
      </c>
      <c r="G71" s="19" t="s">
        <v>114</v>
      </c>
      <c r="H71" s="20">
        <v>551</v>
      </c>
      <c r="I71" s="21">
        <v>2</v>
      </c>
      <c r="J71" s="20">
        <f t="shared" si="1"/>
        <v>1102</v>
      </c>
    </row>
    <row r="72" spans="1:10" x14ac:dyDescent="0.3">
      <c r="A72" s="17" t="s">
        <v>119</v>
      </c>
      <c r="B72" s="18">
        <v>43349</v>
      </c>
      <c r="C72" s="17">
        <v>2018</v>
      </c>
      <c r="D72" s="19" t="s">
        <v>47</v>
      </c>
      <c r="E72" s="19" t="s">
        <v>97</v>
      </c>
      <c r="F72" s="19" t="s">
        <v>9</v>
      </c>
      <c r="G72" s="19" t="s">
        <v>114</v>
      </c>
      <c r="H72" s="20">
        <v>1413</v>
      </c>
      <c r="I72" s="21">
        <v>3</v>
      </c>
      <c r="J72" s="20">
        <f t="shared" si="1"/>
        <v>4239</v>
      </c>
    </row>
    <row r="73" spans="1:10" x14ac:dyDescent="0.3">
      <c r="A73" s="17" t="s">
        <v>120</v>
      </c>
      <c r="B73" s="18">
        <v>43356</v>
      </c>
      <c r="C73" s="17">
        <v>2018</v>
      </c>
      <c r="D73" s="19" t="s">
        <v>30</v>
      </c>
      <c r="E73" s="19" t="s">
        <v>97</v>
      </c>
      <c r="F73" s="19" t="s">
        <v>9</v>
      </c>
      <c r="G73" s="19" t="s">
        <v>114</v>
      </c>
      <c r="H73" s="20">
        <v>940</v>
      </c>
      <c r="I73" s="21">
        <v>1</v>
      </c>
      <c r="J73" s="20">
        <f t="shared" si="1"/>
        <v>940</v>
      </c>
    </row>
    <row r="74" spans="1:10" x14ac:dyDescent="0.3">
      <c r="A74" s="17" t="s">
        <v>121</v>
      </c>
      <c r="B74" s="18">
        <v>43359</v>
      </c>
      <c r="C74" s="17">
        <v>2018</v>
      </c>
      <c r="D74" s="19" t="s">
        <v>26</v>
      </c>
      <c r="E74" s="19" t="s">
        <v>97</v>
      </c>
      <c r="F74" s="19" t="s">
        <v>9</v>
      </c>
      <c r="G74" s="19" t="s">
        <v>114</v>
      </c>
      <c r="H74" s="20">
        <v>757</v>
      </c>
      <c r="I74" s="21">
        <v>3</v>
      </c>
      <c r="J74" s="20">
        <f t="shared" si="1"/>
        <v>2271</v>
      </c>
    </row>
    <row r="75" spans="1:10" x14ac:dyDescent="0.3">
      <c r="A75" s="17" t="s">
        <v>122</v>
      </c>
      <c r="B75" s="18">
        <v>43361</v>
      </c>
      <c r="C75" s="17">
        <v>2018</v>
      </c>
      <c r="D75" s="19" t="s">
        <v>44</v>
      </c>
      <c r="E75" s="19" t="s">
        <v>97</v>
      </c>
      <c r="F75" s="19" t="s">
        <v>9</v>
      </c>
      <c r="G75" s="19" t="s">
        <v>114</v>
      </c>
      <c r="H75" s="20">
        <v>1406</v>
      </c>
      <c r="I75" s="21">
        <v>3</v>
      </c>
      <c r="J75" s="20">
        <f t="shared" si="1"/>
        <v>4218</v>
      </c>
    </row>
    <row r="76" spans="1:10" x14ac:dyDescent="0.3">
      <c r="A76" s="17" t="s">
        <v>123</v>
      </c>
      <c r="B76" s="18">
        <v>43362</v>
      </c>
      <c r="C76" s="17">
        <v>2018</v>
      </c>
      <c r="D76" s="19" t="s">
        <v>47</v>
      </c>
      <c r="E76" s="19" t="s">
        <v>97</v>
      </c>
      <c r="F76" s="19" t="s">
        <v>7</v>
      </c>
      <c r="G76" s="19" t="s">
        <v>114</v>
      </c>
      <c r="H76" s="20">
        <v>1124</v>
      </c>
      <c r="I76" s="21">
        <v>3</v>
      </c>
      <c r="J76" s="20">
        <f t="shared" si="1"/>
        <v>3372</v>
      </c>
    </row>
    <row r="77" spans="1:10" x14ac:dyDescent="0.3">
      <c r="A77" s="17" t="s">
        <v>124</v>
      </c>
      <c r="B77" s="18">
        <v>43362</v>
      </c>
      <c r="C77" s="17">
        <v>2018</v>
      </c>
      <c r="D77" s="19" t="s">
        <v>33</v>
      </c>
      <c r="E77" s="19" t="s">
        <v>97</v>
      </c>
      <c r="F77" s="19" t="s">
        <v>7</v>
      </c>
      <c r="G77" s="19" t="s">
        <v>114</v>
      </c>
      <c r="H77" s="20">
        <v>1489</v>
      </c>
      <c r="I77" s="21">
        <v>3</v>
      </c>
      <c r="J77" s="20">
        <f t="shared" si="1"/>
        <v>4467</v>
      </c>
    </row>
    <row r="78" spans="1:10" x14ac:dyDescent="0.3">
      <c r="A78" s="17" t="s">
        <v>125</v>
      </c>
      <c r="B78" s="18">
        <v>43367</v>
      </c>
      <c r="C78" s="17">
        <v>2018</v>
      </c>
      <c r="D78" s="19" t="s">
        <v>44</v>
      </c>
      <c r="E78" s="19" t="s">
        <v>97</v>
      </c>
      <c r="F78" s="19" t="s">
        <v>7</v>
      </c>
      <c r="G78" s="19" t="s">
        <v>114</v>
      </c>
      <c r="H78" s="20">
        <v>1479</v>
      </c>
      <c r="I78" s="21">
        <v>5</v>
      </c>
      <c r="J78" s="20">
        <f t="shared" si="1"/>
        <v>7395</v>
      </c>
    </row>
    <row r="79" spans="1:10" x14ac:dyDescent="0.3">
      <c r="A79" s="17" t="s">
        <v>126</v>
      </c>
      <c r="B79" s="18">
        <v>43369</v>
      </c>
      <c r="C79" s="17">
        <v>2018</v>
      </c>
      <c r="D79" s="19" t="s">
        <v>40</v>
      </c>
      <c r="E79" s="19" t="s">
        <v>61</v>
      </c>
      <c r="F79" s="19" t="s">
        <v>7</v>
      </c>
      <c r="G79" s="19" t="s">
        <v>114</v>
      </c>
      <c r="H79" s="20">
        <v>897</v>
      </c>
      <c r="I79" s="21">
        <v>3</v>
      </c>
      <c r="J79" s="20">
        <f t="shared" si="1"/>
        <v>2691</v>
      </c>
    </row>
    <row r="80" spans="1:10" x14ac:dyDescent="0.3">
      <c r="A80" s="17" t="s">
        <v>127</v>
      </c>
      <c r="B80" s="18">
        <v>43369</v>
      </c>
      <c r="C80" s="17">
        <v>2018</v>
      </c>
      <c r="D80" s="19" t="s">
        <v>26</v>
      </c>
      <c r="E80" s="19" t="s">
        <v>61</v>
      </c>
      <c r="F80" s="19" t="s">
        <v>7</v>
      </c>
      <c r="G80" s="19" t="s">
        <v>114</v>
      </c>
      <c r="H80" s="20">
        <v>974</v>
      </c>
      <c r="I80" s="21">
        <v>2</v>
      </c>
      <c r="J80" s="20">
        <f t="shared" si="1"/>
        <v>1948</v>
      </c>
    </row>
    <row r="81" spans="1:10" x14ac:dyDescent="0.3">
      <c r="A81" s="17" t="s">
        <v>128</v>
      </c>
      <c r="B81" s="18">
        <v>43370</v>
      </c>
      <c r="C81" s="17">
        <v>2018</v>
      </c>
      <c r="D81" s="19" t="s">
        <v>44</v>
      </c>
      <c r="E81" s="19" t="s">
        <v>61</v>
      </c>
      <c r="F81" s="19" t="s">
        <v>7</v>
      </c>
      <c r="G81" s="19" t="s">
        <v>67</v>
      </c>
      <c r="H81" s="20">
        <v>5</v>
      </c>
      <c r="I81" s="21">
        <v>37</v>
      </c>
      <c r="J81" s="20">
        <f t="shared" si="1"/>
        <v>185</v>
      </c>
    </row>
    <row r="82" spans="1:10" x14ac:dyDescent="0.3">
      <c r="A82" s="17" t="s">
        <v>129</v>
      </c>
      <c r="B82" s="18">
        <v>43372</v>
      </c>
      <c r="C82" s="17">
        <v>2018</v>
      </c>
      <c r="D82" s="19" t="s">
        <v>33</v>
      </c>
      <c r="E82" s="19" t="s">
        <v>61</v>
      </c>
      <c r="F82" s="19" t="s">
        <v>7</v>
      </c>
      <c r="G82" s="19" t="s">
        <v>67</v>
      </c>
      <c r="H82" s="20">
        <v>5</v>
      </c>
      <c r="I82" s="21">
        <v>193</v>
      </c>
      <c r="J82" s="20">
        <f t="shared" si="1"/>
        <v>965</v>
      </c>
    </row>
    <row r="83" spans="1:10" x14ac:dyDescent="0.3">
      <c r="A83" s="17" t="s">
        <v>130</v>
      </c>
      <c r="B83" s="18">
        <v>43372</v>
      </c>
      <c r="C83" s="17">
        <v>2018</v>
      </c>
      <c r="D83" s="19" t="s">
        <v>40</v>
      </c>
      <c r="E83" s="19" t="s">
        <v>61</v>
      </c>
      <c r="F83" s="19" t="s">
        <v>7</v>
      </c>
      <c r="G83" s="19" t="s">
        <v>67</v>
      </c>
      <c r="H83" s="20">
        <v>5</v>
      </c>
      <c r="I83" s="21">
        <v>170</v>
      </c>
      <c r="J83" s="20">
        <f t="shared" si="1"/>
        <v>850</v>
      </c>
    </row>
    <row r="84" spans="1:10" x14ac:dyDescent="0.3">
      <c r="A84" s="17" t="s">
        <v>131</v>
      </c>
      <c r="B84" s="18">
        <v>43373</v>
      </c>
      <c r="C84" s="17">
        <v>2018</v>
      </c>
      <c r="D84" s="19" t="s">
        <v>30</v>
      </c>
      <c r="E84" s="19" t="s">
        <v>61</v>
      </c>
      <c r="F84" s="19" t="s">
        <v>7</v>
      </c>
      <c r="G84" s="19" t="s">
        <v>67</v>
      </c>
      <c r="H84" s="20">
        <v>5</v>
      </c>
      <c r="I84" s="21">
        <v>177</v>
      </c>
      <c r="J84" s="20">
        <f t="shared" si="1"/>
        <v>885</v>
      </c>
    </row>
    <row r="85" spans="1:10" x14ac:dyDescent="0.3">
      <c r="A85" s="17" t="s">
        <v>132</v>
      </c>
      <c r="B85" s="18">
        <v>43383</v>
      </c>
      <c r="C85" s="17">
        <v>2018</v>
      </c>
      <c r="D85" s="19" t="s">
        <v>40</v>
      </c>
      <c r="E85" s="19" t="s">
        <v>61</v>
      </c>
      <c r="F85" s="19" t="s">
        <v>7</v>
      </c>
      <c r="G85" s="19" t="s">
        <v>67</v>
      </c>
      <c r="H85" s="20">
        <v>5</v>
      </c>
      <c r="I85" s="21">
        <v>189</v>
      </c>
      <c r="J85" s="20">
        <f t="shared" si="1"/>
        <v>945</v>
      </c>
    </row>
    <row r="86" spans="1:10" x14ac:dyDescent="0.3">
      <c r="A86" s="17" t="s">
        <v>133</v>
      </c>
      <c r="B86" s="18">
        <v>43383</v>
      </c>
      <c r="C86" s="17">
        <v>2018</v>
      </c>
      <c r="D86" s="19" t="s">
        <v>30</v>
      </c>
      <c r="E86" s="19" t="s">
        <v>134</v>
      </c>
      <c r="F86" s="19" t="s">
        <v>7</v>
      </c>
      <c r="G86" s="19" t="s">
        <v>67</v>
      </c>
      <c r="H86" s="20">
        <v>5</v>
      </c>
      <c r="I86" s="21">
        <v>141</v>
      </c>
      <c r="J86" s="20">
        <f t="shared" si="1"/>
        <v>705</v>
      </c>
    </row>
    <row r="87" spans="1:10" x14ac:dyDescent="0.3">
      <c r="A87" s="17" t="s">
        <v>135</v>
      </c>
      <c r="B87" s="18">
        <v>43386</v>
      </c>
      <c r="C87" s="17">
        <v>2018</v>
      </c>
      <c r="D87" s="19" t="s">
        <v>30</v>
      </c>
      <c r="E87" s="19" t="s">
        <v>136</v>
      </c>
      <c r="F87" s="19" t="s">
        <v>7</v>
      </c>
      <c r="G87" s="19" t="s">
        <v>67</v>
      </c>
      <c r="H87" s="20">
        <v>5</v>
      </c>
      <c r="I87" s="21">
        <v>99</v>
      </c>
      <c r="J87" s="20">
        <f t="shared" si="1"/>
        <v>495</v>
      </c>
    </row>
    <row r="88" spans="1:10" x14ac:dyDescent="0.3">
      <c r="A88" s="17" t="s">
        <v>137</v>
      </c>
      <c r="B88" s="18">
        <v>43387</v>
      </c>
      <c r="C88" s="17">
        <v>2018</v>
      </c>
      <c r="D88" s="19" t="s">
        <v>33</v>
      </c>
      <c r="E88" s="19" t="s">
        <v>134</v>
      </c>
      <c r="F88" s="19" t="s">
        <v>7</v>
      </c>
      <c r="G88" s="19" t="s">
        <v>67</v>
      </c>
      <c r="H88" s="20">
        <v>6</v>
      </c>
      <c r="I88" s="21">
        <v>90</v>
      </c>
      <c r="J88" s="20">
        <f t="shared" si="1"/>
        <v>540</v>
      </c>
    </row>
    <row r="89" spans="1:10" x14ac:dyDescent="0.3">
      <c r="A89" s="17" t="s">
        <v>138</v>
      </c>
      <c r="B89" s="18">
        <v>43389</v>
      </c>
      <c r="C89" s="17">
        <v>2018</v>
      </c>
      <c r="D89" s="19" t="s">
        <v>26</v>
      </c>
      <c r="E89" s="19" t="s">
        <v>136</v>
      </c>
      <c r="F89" s="19" t="s">
        <v>7</v>
      </c>
      <c r="G89" s="19" t="s">
        <v>67</v>
      </c>
      <c r="H89" s="20">
        <v>6</v>
      </c>
      <c r="I89" s="21">
        <v>93</v>
      </c>
      <c r="J89" s="20">
        <f t="shared" si="1"/>
        <v>558</v>
      </c>
    </row>
    <row r="90" spans="1:10" x14ac:dyDescent="0.3">
      <c r="A90" s="17" t="s">
        <v>139</v>
      </c>
      <c r="B90" s="18">
        <v>43390</v>
      </c>
      <c r="C90" s="17">
        <v>2018</v>
      </c>
      <c r="D90" s="19" t="s">
        <v>33</v>
      </c>
      <c r="E90" s="19" t="s">
        <v>27</v>
      </c>
      <c r="F90" s="19" t="s">
        <v>7</v>
      </c>
      <c r="G90" s="19" t="s">
        <v>67</v>
      </c>
      <c r="H90" s="20">
        <v>6</v>
      </c>
      <c r="I90" s="21">
        <v>79</v>
      </c>
      <c r="J90" s="20">
        <f t="shared" si="1"/>
        <v>474</v>
      </c>
    </row>
    <row r="91" spans="1:10" x14ac:dyDescent="0.3">
      <c r="A91" s="17" t="s">
        <v>140</v>
      </c>
      <c r="B91" s="18">
        <v>43397</v>
      </c>
      <c r="C91" s="17">
        <v>2018</v>
      </c>
      <c r="D91" s="19" t="s">
        <v>33</v>
      </c>
      <c r="E91" s="19" t="s">
        <v>27</v>
      </c>
      <c r="F91" s="19" t="s">
        <v>3</v>
      </c>
      <c r="G91" s="19" t="s">
        <v>67</v>
      </c>
      <c r="H91" s="20">
        <v>6</v>
      </c>
      <c r="I91" s="21">
        <v>157</v>
      </c>
      <c r="J91" s="20">
        <f t="shared" si="1"/>
        <v>942</v>
      </c>
    </row>
    <row r="92" spans="1:10" x14ac:dyDescent="0.3">
      <c r="A92" s="17" t="s">
        <v>141</v>
      </c>
      <c r="B92" s="18">
        <v>43397</v>
      </c>
      <c r="C92" s="17">
        <v>2018</v>
      </c>
      <c r="D92" s="19" t="s">
        <v>35</v>
      </c>
      <c r="E92" s="19" t="s">
        <v>27</v>
      </c>
      <c r="F92" s="19" t="s">
        <v>3</v>
      </c>
      <c r="G92" s="19" t="s">
        <v>67</v>
      </c>
      <c r="H92" s="20">
        <v>6</v>
      </c>
      <c r="I92" s="21">
        <v>43</v>
      </c>
      <c r="J92" s="20">
        <f t="shared" si="1"/>
        <v>258</v>
      </c>
    </row>
    <row r="93" spans="1:10" x14ac:dyDescent="0.3">
      <c r="A93" s="17" t="s">
        <v>142</v>
      </c>
      <c r="B93" s="18">
        <v>43415</v>
      </c>
      <c r="C93" s="17">
        <v>2018</v>
      </c>
      <c r="D93" s="19" t="s">
        <v>30</v>
      </c>
      <c r="E93" s="19" t="s">
        <v>27</v>
      </c>
      <c r="F93" s="19" t="s">
        <v>3</v>
      </c>
      <c r="G93" s="19" t="s">
        <v>67</v>
      </c>
      <c r="H93" s="20">
        <v>6</v>
      </c>
      <c r="I93" s="21">
        <v>41</v>
      </c>
      <c r="J93" s="20">
        <f t="shared" si="1"/>
        <v>246</v>
      </c>
    </row>
    <row r="94" spans="1:10" x14ac:dyDescent="0.3">
      <c r="A94" s="17" t="s">
        <v>143</v>
      </c>
      <c r="B94" s="18">
        <v>43421</v>
      </c>
      <c r="C94" s="17">
        <v>2018</v>
      </c>
      <c r="D94" s="19" t="s">
        <v>40</v>
      </c>
      <c r="E94" s="19" t="s">
        <v>134</v>
      </c>
      <c r="F94" s="19" t="s">
        <v>3</v>
      </c>
      <c r="G94" s="19" t="s">
        <v>67</v>
      </c>
      <c r="H94" s="20">
        <v>6</v>
      </c>
      <c r="I94" s="21">
        <v>100</v>
      </c>
      <c r="J94" s="20">
        <f t="shared" si="1"/>
        <v>600</v>
      </c>
    </row>
    <row r="95" spans="1:10" x14ac:dyDescent="0.3">
      <c r="A95" s="17" t="s">
        <v>144</v>
      </c>
      <c r="B95" s="18">
        <v>43421</v>
      </c>
      <c r="C95" s="17">
        <v>2018</v>
      </c>
      <c r="D95" s="19" t="s">
        <v>35</v>
      </c>
      <c r="E95" s="19" t="s">
        <v>136</v>
      </c>
      <c r="F95" s="19" t="s">
        <v>3</v>
      </c>
      <c r="G95" s="19" t="s">
        <v>67</v>
      </c>
      <c r="H95" s="20">
        <v>6</v>
      </c>
      <c r="I95" s="21">
        <v>117</v>
      </c>
      <c r="J95" s="20">
        <f t="shared" si="1"/>
        <v>702</v>
      </c>
    </row>
    <row r="96" spans="1:10" x14ac:dyDescent="0.3">
      <c r="A96" s="17" t="s">
        <v>145</v>
      </c>
      <c r="B96" s="18">
        <v>43421</v>
      </c>
      <c r="C96" s="17">
        <v>2018</v>
      </c>
      <c r="D96" s="19" t="s">
        <v>40</v>
      </c>
      <c r="E96" s="19" t="s">
        <v>134</v>
      </c>
      <c r="F96" s="19" t="s">
        <v>3</v>
      </c>
      <c r="G96" s="19" t="s">
        <v>67</v>
      </c>
      <c r="H96" s="20">
        <v>6</v>
      </c>
      <c r="I96" s="21">
        <v>58</v>
      </c>
      <c r="J96" s="20">
        <f t="shared" si="1"/>
        <v>348</v>
      </c>
    </row>
    <row r="97" spans="1:10" x14ac:dyDescent="0.3">
      <c r="A97" s="17" t="s">
        <v>146</v>
      </c>
      <c r="B97" s="18">
        <v>43424</v>
      </c>
      <c r="C97" s="17">
        <v>2018</v>
      </c>
      <c r="D97" s="19" t="s">
        <v>47</v>
      </c>
      <c r="E97" s="19" t="s">
        <v>136</v>
      </c>
      <c r="F97" s="19" t="s">
        <v>3</v>
      </c>
      <c r="G97" s="19" t="s">
        <v>67</v>
      </c>
      <c r="H97" s="20">
        <v>6</v>
      </c>
      <c r="I97" s="21">
        <v>142</v>
      </c>
      <c r="J97" s="20">
        <f t="shared" si="1"/>
        <v>852</v>
      </c>
    </row>
    <row r="98" spans="1:10" x14ac:dyDescent="0.3">
      <c r="A98" s="17" t="s">
        <v>147</v>
      </c>
      <c r="B98" s="18">
        <v>43426</v>
      </c>
      <c r="C98" s="17">
        <v>2018</v>
      </c>
      <c r="D98" s="19" t="s">
        <v>44</v>
      </c>
      <c r="E98" s="19" t="s">
        <v>27</v>
      </c>
      <c r="F98" s="19" t="s">
        <v>3</v>
      </c>
      <c r="G98" s="19" t="s">
        <v>67</v>
      </c>
      <c r="H98" s="20">
        <v>6</v>
      </c>
      <c r="I98" s="21">
        <v>106</v>
      </c>
      <c r="J98" s="20">
        <f t="shared" si="1"/>
        <v>636</v>
      </c>
    </row>
    <row r="99" spans="1:10" x14ac:dyDescent="0.3">
      <c r="A99" s="17" t="s">
        <v>148</v>
      </c>
      <c r="B99" s="18">
        <v>43426</v>
      </c>
      <c r="C99" s="17">
        <v>2018</v>
      </c>
      <c r="D99" s="19" t="s">
        <v>35</v>
      </c>
      <c r="E99" s="19" t="s">
        <v>27</v>
      </c>
      <c r="F99" s="19" t="s">
        <v>3</v>
      </c>
      <c r="G99" s="19" t="s">
        <v>67</v>
      </c>
      <c r="H99" s="20">
        <v>6</v>
      </c>
      <c r="I99" s="21">
        <v>141</v>
      </c>
      <c r="J99" s="20">
        <f t="shared" si="1"/>
        <v>846</v>
      </c>
    </row>
    <row r="100" spans="1:10" x14ac:dyDescent="0.3">
      <c r="A100" s="17" t="s">
        <v>149</v>
      </c>
      <c r="B100" s="18">
        <v>43427</v>
      </c>
      <c r="C100" s="17">
        <v>2018</v>
      </c>
      <c r="D100" s="19" t="s">
        <v>30</v>
      </c>
      <c r="E100" s="19" t="s">
        <v>27</v>
      </c>
      <c r="F100" s="19" t="s">
        <v>3</v>
      </c>
      <c r="G100" s="19" t="s">
        <v>67</v>
      </c>
      <c r="H100" s="20">
        <v>6</v>
      </c>
      <c r="I100" s="21">
        <v>16</v>
      </c>
      <c r="J100" s="20">
        <f t="shared" si="1"/>
        <v>96</v>
      </c>
    </row>
    <row r="101" spans="1:10" x14ac:dyDescent="0.3">
      <c r="A101" s="17" t="s">
        <v>150</v>
      </c>
      <c r="B101" s="18">
        <v>43427</v>
      </c>
      <c r="C101" s="17">
        <v>2018</v>
      </c>
      <c r="D101" s="19" t="s">
        <v>33</v>
      </c>
      <c r="E101" s="19" t="s">
        <v>97</v>
      </c>
      <c r="F101" s="19" t="s">
        <v>3</v>
      </c>
      <c r="G101" s="19" t="s">
        <v>67</v>
      </c>
      <c r="H101" s="20">
        <v>6</v>
      </c>
      <c r="I101" s="21">
        <v>115</v>
      </c>
      <c r="J101" s="20">
        <f t="shared" si="1"/>
        <v>690</v>
      </c>
    </row>
    <row r="102" spans="1:10" x14ac:dyDescent="0.3">
      <c r="A102" s="17" t="s">
        <v>151</v>
      </c>
      <c r="B102" s="18">
        <v>43431</v>
      </c>
      <c r="C102" s="17">
        <v>2018</v>
      </c>
      <c r="D102" s="19" t="s">
        <v>26</v>
      </c>
      <c r="E102" s="19" t="s">
        <v>97</v>
      </c>
      <c r="F102" s="19" t="s">
        <v>3</v>
      </c>
      <c r="G102" s="19" t="s">
        <v>67</v>
      </c>
      <c r="H102" s="20">
        <v>6</v>
      </c>
      <c r="I102" s="21">
        <v>164</v>
      </c>
      <c r="J102" s="20">
        <f t="shared" si="1"/>
        <v>984</v>
      </c>
    </row>
    <row r="103" spans="1:10" x14ac:dyDescent="0.3">
      <c r="A103" s="17" t="s">
        <v>152</v>
      </c>
      <c r="B103" s="18">
        <v>43432</v>
      </c>
      <c r="C103" s="17">
        <v>2018</v>
      </c>
      <c r="D103" s="19" t="s">
        <v>35</v>
      </c>
      <c r="E103" s="19" t="s">
        <v>97</v>
      </c>
      <c r="F103" s="19" t="s">
        <v>3</v>
      </c>
      <c r="G103" s="19" t="s">
        <v>67</v>
      </c>
      <c r="H103" s="20">
        <v>6</v>
      </c>
      <c r="I103" s="21">
        <v>163</v>
      </c>
      <c r="J103" s="20">
        <f t="shared" si="1"/>
        <v>978</v>
      </c>
    </row>
    <row r="104" spans="1:10" x14ac:dyDescent="0.3">
      <c r="A104" s="17" t="s">
        <v>153</v>
      </c>
      <c r="B104" s="18">
        <v>43432</v>
      </c>
      <c r="C104" s="17">
        <v>2018</v>
      </c>
      <c r="D104" s="19" t="s">
        <v>35</v>
      </c>
      <c r="E104" s="19" t="s">
        <v>97</v>
      </c>
      <c r="F104" s="19" t="s">
        <v>3</v>
      </c>
      <c r="G104" s="19" t="s">
        <v>67</v>
      </c>
      <c r="H104" s="20">
        <v>6</v>
      </c>
      <c r="I104" s="21">
        <v>81</v>
      </c>
      <c r="J104" s="20">
        <f t="shared" si="1"/>
        <v>486</v>
      </c>
    </row>
    <row r="105" spans="1:10" x14ac:dyDescent="0.3">
      <c r="A105" s="17" t="s">
        <v>154</v>
      </c>
      <c r="B105" s="18">
        <v>43433</v>
      </c>
      <c r="C105" s="17">
        <v>2018</v>
      </c>
      <c r="D105" s="19" t="s">
        <v>33</v>
      </c>
      <c r="E105" s="19" t="s">
        <v>97</v>
      </c>
      <c r="F105" s="19" t="s">
        <v>4</v>
      </c>
      <c r="G105" s="19" t="s">
        <v>67</v>
      </c>
      <c r="H105" s="20">
        <v>6</v>
      </c>
      <c r="I105" s="21">
        <v>117</v>
      </c>
      <c r="J105" s="20">
        <f t="shared" si="1"/>
        <v>702</v>
      </c>
    </row>
    <row r="106" spans="1:10" x14ac:dyDescent="0.3">
      <c r="A106" s="17" t="s">
        <v>155</v>
      </c>
      <c r="B106" s="18">
        <v>43433</v>
      </c>
      <c r="C106" s="17">
        <v>2018</v>
      </c>
      <c r="D106" s="19" t="s">
        <v>26</v>
      </c>
      <c r="E106" s="19" t="s">
        <v>97</v>
      </c>
      <c r="F106" s="19" t="s">
        <v>4</v>
      </c>
      <c r="G106" s="19" t="s">
        <v>67</v>
      </c>
      <c r="H106" s="20">
        <v>6</v>
      </c>
      <c r="I106" s="21">
        <v>135</v>
      </c>
      <c r="J106" s="20">
        <f t="shared" si="1"/>
        <v>810</v>
      </c>
    </row>
    <row r="107" spans="1:10" x14ac:dyDescent="0.3">
      <c r="A107" s="17" t="s">
        <v>156</v>
      </c>
      <c r="B107" s="18">
        <v>43433</v>
      </c>
      <c r="C107" s="17">
        <v>2018</v>
      </c>
      <c r="D107" s="19" t="s">
        <v>30</v>
      </c>
      <c r="E107" s="19" t="s">
        <v>97</v>
      </c>
      <c r="F107" s="19" t="s">
        <v>4</v>
      </c>
      <c r="G107" s="19" t="s">
        <v>41</v>
      </c>
      <c r="H107" s="20">
        <v>1159</v>
      </c>
      <c r="I107" s="21">
        <v>4</v>
      </c>
      <c r="J107" s="20">
        <f t="shared" si="1"/>
        <v>4636</v>
      </c>
    </row>
    <row r="108" spans="1:10" x14ac:dyDescent="0.3">
      <c r="A108" s="17" t="s">
        <v>157</v>
      </c>
      <c r="B108" s="18">
        <v>43433</v>
      </c>
      <c r="C108" s="17">
        <v>2018</v>
      </c>
      <c r="D108" s="19" t="s">
        <v>35</v>
      </c>
      <c r="E108" s="19" t="s">
        <v>61</v>
      </c>
      <c r="F108" s="19" t="s">
        <v>4</v>
      </c>
      <c r="G108" s="19" t="s">
        <v>41</v>
      </c>
      <c r="H108" s="20">
        <v>1044</v>
      </c>
      <c r="I108" s="21">
        <v>4</v>
      </c>
      <c r="J108" s="20">
        <f t="shared" si="1"/>
        <v>4176</v>
      </c>
    </row>
    <row r="109" spans="1:10" x14ac:dyDescent="0.3">
      <c r="A109" s="17" t="s">
        <v>158</v>
      </c>
      <c r="B109" s="18">
        <v>43433</v>
      </c>
      <c r="C109" s="17">
        <v>2018</v>
      </c>
      <c r="D109" s="19" t="s">
        <v>44</v>
      </c>
      <c r="E109" s="19" t="s">
        <v>61</v>
      </c>
      <c r="F109" s="19" t="s">
        <v>4</v>
      </c>
      <c r="G109" s="19" t="s">
        <v>41</v>
      </c>
      <c r="H109" s="20">
        <v>1115</v>
      </c>
      <c r="I109" s="21">
        <v>12</v>
      </c>
      <c r="J109" s="20">
        <f t="shared" si="1"/>
        <v>13380</v>
      </c>
    </row>
    <row r="110" spans="1:10" x14ac:dyDescent="0.3">
      <c r="A110" s="17" t="s">
        <v>159</v>
      </c>
      <c r="B110" s="18">
        <v>43446</v>
      </c>
      <c r="C110" s="17">
        <v>2018</v>
      </c>
      <c r="D110" s="19" t="s">
        <v>35</v>
      </c>
      <c r="E110" s="19" t="s">
        <v>61</v>
      </c>
      <c r="F110" s="19" t="s">
        <v>4</v>
      </c>
      <c r="G110" s="19" t="s">
        <v>41</v>
      </c>
      <c r="H110" s="20">
        <v>819</v>
      </c>
      <c r="I110" s="21">
        <v>11</v>
      </c>
      <c r="J110" s="20">
        <f t="shared" si="1"/>
        <v>9009</v>
      </c>
    </row>
    <row r="111" spans="1:10" x14ac:dyDescent="0.3">
      <c r="A111" s="17" t="s">
        <v>160</v>
      </c>
      <c r="B111" s="18">
        <v>43451</v>
      </c>
      <c r="C111" s="17">
        <v>2018</v>
      </c>
      <c r="D111" s="19" t="s">
        <v>30</v>
      </c>
      <c r="E111" s="19" t="s">
        <v>61</v>
      </c>
      <c r="F111" s="19" t="s">
        <v>4</v>
      </c>
      <c r="G111" s="19" t="s">
        <v>41</v>
      </c>
      <c r="H111" s="20">
        <v>1089</v>
      </c>
      <c r="I111" s="21">
        <v>8</v>
      </c>
      <c r="J111" s="20">
        <f t="shared" si="1"/>
        <v>8712</v>
      </c>
    </row>
    <row r="112" spans="1:10" x14ac:dyDescent="0.3">
      <c r="A112" s="17" t="s">
        <v>161</v>
      </c>
      <c r="B112" s="18">
        <v>43462</v>
      </c>
      <c r="C112" s="17">
        <v>2018</v>
      </c>
      <c r="D112" s="19" t="s">
        <v>30</v>
      </c>
      <c r="E112" s="19" t="s">
        <v>134</v>
      </c>
      <c r="F112" s="19" t="s">
        <v>4</v>
      </c>
      <c r="G112" s="19" t="s">
        <v>41</v>
      </c>
      <c r="H112" s="20">
        <v>982</v>
      </c>
      <c r="I112" s="21">
        <v>3</v>
      </c>
      <c r="J112" s="20">
        <f t="shared" si="1"/>
        <v>2946</v>
      </c>
    </row>
    <row r="113" spans="1:10" x14ac:dyDescent="0.3">
      <c r="A113" s="17" t="s">
        <v>162</v>
      </c>
      <c r="B113" s="18">
        <v>43468</v>
      </c>
      <c r="C113" s="17">
        <v>2019</v>
      </c>
      <c r="D113" s="19" t="s">
        <v>26</v>
      </c>
      <c r="E113" s="19" t="s">
        <v>136</v>
      </c>
      <c r="F113" s="19" t="s">
        <v>8</v>
      </c>
      <c r="G113" s="19" t="s">
        <v>41</v>
      </c>
      <c r="H113" s="20">
        <v>821</v>
      </c>
      <c r="I113" s="21">
        <v>9</v>
      </c>
      <c r="J113" s="20">
        <f t="shared" si="1"/>
        <v>7389</v>
      </c>
    </row>
    <row r="114" spans="1:10" x14ac:dyDescent="0.3">
      <c r="A114" s="17" t="s">
        <v>163</v>
      </c>
      <c r="B114" s="18">
        <v>43473</v>
      </c>
      <c r="C114" s="17">
        <v>2019</v>
      </c>
      <c r="D114" s="19" t="s">
        <v>35</v>
      </c>
      <c r="E114" s="19" t="s">
        <v>36</v>
      </c>
      <c r="F114" s="19" t="s">
        <v>8</v>
      </c>
      <c r="G114" s="19" t="s">
        <v>41</v>
      </c>
      <c r="H114" s="20">
        <v>1101</v>
      </c>
      <c r="I114" s="21">
        <v>8</v>
      </c>
      <c r="J114" s="20">
        <f t="shared" si="1"/>
        <v>8808</v>
      </c>
    </row>
    <row r="115" spans="1:10" x14ac:dyDescent="0.3">
      <c r="A115" s="17" t="s">
        <v>164</v>
      </c>
      <c r="B115" s="18">
        <v>43473</v>
      </c>
      <c r="C115" s="17">
        <v>2019</v>
      </c>
      <c r="D115" s="19" t="s">
        <v>35</v>
      </c>
      <c r="E115" s="19" t="s">
        <v>36</v>
      </c>
      <c r="F115" s="19" t="s">
        <v>8</v>
      </c>
      <c r="G115" s="19" t="s">
        <v>41</v>
      </c>
      <c r="H115" s="20">
        <v>926</v>
      </c>
      <c r="I115" s="21">
        <v>4</v>
      </c>
      <c r="J115" s="20">
        <f t="shared" si="1"/>
        <v>3704</v>
      </c>
    </row>
    <row r="116" spans="1:10" x14ac:dyDescent="0.3">
      <c r="A116" s="17" t="s">
        <v>165</v>
      </c>
      <c r="B116" s="18">
        <v>43479</v>
      </c>
      <c r="C116" s="17">
        <v>2019</v>
      </c>
      <c r="D116" s="19" t="s">
        <v>35</v>
      </c>
      <c r="E116" s="19" t="s">
        <v>36</v>
      </c>
      <c r="F116" s="19" t="s">
        <v>8</v>
      </c>
      <c r="G116" s="19" t="s">
        <v>41</v>
      </c>
      <c r="H116" s="20">
        <v>827</v>
      </c>
      <c r="I116" s="21">
        <v>10</v>
      </c>
      <c r="J116" s="20">
        <f t="shared" si="1"/>
        <v>8270</v>
      </c>
    </row>
    <row r="117" spans="1:10" x14ac:dyDescent="0.3">
      <c r="A117" s="17" t="s">
        <v>166</v>
      </c>
      <c r="B117" s="18">
        <v>43479</v>
      </c>
      <c r="C117" s="17">
        <v>2019</v>
      </c>
      <c r="D117" s="19" t="s">
        <v>40</v>
      </c>
      <c r="E117" s="19" t="s">
        <v>36</v>
      </c>
      <c r="F117" s="19" t="s">
        <v>8</v>
      </c>
      <c r="G117" s="19" t="s">
        <v>41</v>
      </c>
      <c r="H117" s="20">
        <v>978</v>
      </c>
      <c r="I117" s="21">
        <v>8</v>
      </c>
      <c r="J117" s="20">
        <f t="shared" si="1"/>
        <v>7824</v>
      </c>
    </row>
    <row r="118" spans="1:10" x14ac:dyDescent="0.3">
      <c r="A118" s="17" t="s">
        <v>167</v>
      </c>
      <c r="B118" s="18">
        <v>43479</v>
      </c>
      <c r="C118" s="17">
        <v>2019</v>
      </c>
      <c r="D118" s="19" t="s">
        <v>40</v>
      </c>
      <c r="E118" s="19" t="s">
        <v>36</v>
      </c>
      <c r="F118" s="19" t="s">
        <v>8</v>
      </c>
      <c r="G118" s="19" t="s">
        <v>41</v>
      </c>
      <c r="H118" s="20">
        <v>1194</v>
      </c>
      <c r="I118" s="21">
        <v>14</v>
      </c>
      <c r="J118" s="20">
        <f t="shared" si="1"/>
        <v>16716</v>
      </c>
    </row>
    <row r="119" spans="1:10" x14ac:dyDescent="0.3">
      <c r="A119" s="17" t="s">
        <v>168</v>
      </c>
      <c r="B119" s="18">
        <v>43479</v>
      </c>
      <c r="C119" s="17">
        <v>2019</v>
      </c>
      <c r="D119" s="19" t="s">
        <v>47</v>
      </c>
      <c r="E119" s="19" t="s">
        <v>36</v>
      </c>
      <c r="F119" s="19" t="s">
        <v>8</v>
      </c>
      <c r="G119" s="19" t="s">
        <v>41</v>
      </c>
      <c r="H119" s="20">
        <v>867</v>
      </c>
      <c r="I119" s="21">
        <v>1</v>
      </c>
      <c r="J119" s="20">
        <f t="shared" si="1"/>
        <v>867</v>
      </c>
    </row>
    <row r="120" spans="1:10" x14ac:dyDescent="0.3">
      <c r="A120" s="17" t="s">
        <v>169</v>
      </c>
      <c r="B120" s="18">
        <v>43479</v>
      </c>
      <c r="C120" s="17">
        <v>2019</v>
      </c>
      <c r="D120" s="19" t="s">
        <v>47</v>
      </c>
      <c r="E120" s="19" t="s">
        <v>134</v>
      </c>
      <c r="F120" s="19" t="s">
        <v>8</v>
      </c>
      <c r="G120" s="19" t="s">
        <v>41</v>
      </c>
      <c r="H120" s="20">
        <v>950</v>
      </c>
      <c r="I120" s="21">
        <v>6</v>
      </c>
      <c r="J120" s="20">
        <f t="shared" si="1"/>
        <v>5700</v>
      </c>
    </row>
    <row r="121" spans="1:10" x14ac:dyDescent="0.3">
      <c r="A121" s="17" t="s">
        <v>170</v>
      </c>
      <c r="B121" s="18">
        <v>43479</v>
      </c>
      <c r="C121" s="17">
        <v>2019</v>
      </c>
      <c r="D121" s="19" t="s">
        <v>47</v>
      </c>
      <c r="E121" s="19" t="s">
        <v>136</v>
      </c>
      <c r="F121" s="19" t="s">
        <v>8</v>
      </c>
      <c r="G121" s="19" t="s">
        <v>41</v>
      </c>
      <c r="H121" s="20">
        <v>975</v>
      </c>
      <c r="I121" s="21">
        <v>1</v>
      </c>
      <c r="J121" s="20">
        <f t="shared" si="1"/>
        <v>975</v>
      </c>
    </row>
    <row r="122" spans="1:10" x14ac:dyDescent="0.3">
      <c r="A122" s="17" t="s">
        <v>171</v>
      </c>
      <c r="B122" s="18">
        <v>43479</v>
      </c>
      <c r="C122" s="17">
        <v>2019</v>
      </c>
      <c r="D122" s="19" t="s">
        <v>44</v>
      </c>
      <c r="E122" s="19" t="s">
        <v>134</v>
      </c>
      <c r="F122" s="19" t="s">
        <v>8</v>
      </c>
      <c r="G122" s="19" t="s">
        <v>41</v>
      </c>
      <c r="H122" s="20">
        <v>1014</v>
      </c>
      <c r="I122" s="21">
        <v>7</v>
      </c>
      <c r="J122" s="20">
        <f t="shared" si="1"/>
        <v>7098</v>
      </c>
    </row>
    <row r="123" spans="1:10" x14ac:dyDescent="0.3">
      <c r="A123" s="17" t="s">
        <v>172</v>
      </c>
      <c r="B123" s="18">
        <v>43479</v>
      </c>
      <c r="C123" s="17">
        <v>2019</v>
      </c>
      <c r="D123" s="19" t="s">
        <v>44</v>
      </c>
      <c r="E123" s="19" t="s">
        <v>136</v>
      </c>
      <c r="F123" s="19" t="s">
        <v>8</v>
      </c>
      <c r="G123" s="19" t="s">
        <v>41</v>
      </c>
      <c r="H123" s="20">
        <v>1008</v>
      </c>
      <c r="I123" s="21">
        <v>13</v>
      </c>
      <c r="J123" s="20">
        <f t="shared" si="1"/>
        <v>13104</v>
      </c>
    </row>
    <row r="124" spans="1:10" x14ac:dyDescent="0.3">
      <c r="A124" s="17" t="s">
        <v>173</v>
      </c>
      <c r="B124" s="18">
        <v>43479</v>
      </c>
      <c r="C124" s="17">
        <v>2019</v>
      </c>
      <c r="D124" s="19" t="s">
        <v>44</v>
      </c>
      <c r="E124" s="19" t="s">
        <v>134</v>
      </c>
      <c r="F124" s="19" t="s">
        <v>8</v>
      </c>
      <c r="G124" s="19" t="s">
        <v>41</v>
      </c>
      <c r="H124" s="20">
        <v>969</v>
      </c>
      <c r="I124" s="21">
        <v>11</v>
      </c>
      <c r="J124" s="20">
        <f t="shared" si="1"/>
        <v>10659</v>
      </c>
    </row>
    <row r="125" spans="1:10" x14ac:dyDescent="0.3">
      <c r="A125" s="17" t="s">
        <v>174</v>
      </c>
      <c r="B125" s="18">
        <v>43522</v>
      </c>
      <c r="C125" s="17">
        <v>2019</v>
      </c>
      <c r="D125" s="19" t="s">
        <v>35</v>
      </c>
      <c r="E125" s="19" t="s">
        <v>136</v>
      </c>
      <c r="F125" s="19" t="s">
        <v>8</v>
      </c>
      <c r="G125" s="19" t="s">
        <v>41</v>
      </c>
      <c r="H125" s="20">
        <v>927</v>
      </c>
      <c r="I125" s="21">
        <v>13</v>
      </c>
      <c r="J125" s="20">
        <f t="shared" si="1"/>
        <v>12051</v>
      </c>
    </row>
    <row r="126" spans="1:10" x14ac:dyDescent="0.3">
      <c r="A126" s="17" t="s">
        <v>175</v>
      </c>
      <c r="B126" s="18">
        <v>43524</v>
      </c>
      <c r="C126" s="17">
        <v>2019</v>
      </c>
      <c r="D126" s="19" t="s">
        <v>40</v>
      </c>
      <c r="E126" s="19" t="s">
        <v>134</v>
      </c>
      <c r="F126" s="19" t="s">
        <v>8</v>
      </c>
      <c r="G126" s="19" t="s">
        <v>41</v>
      </c>
      <c r="H126" s="20">
        <v>951</v>
      </c>
      <c r="I126" s="21">
        <v>3</v>
      </c>
      <c r="J126" s="20">
        <f t="shared" si="1"/>
        <v>2853</v>
      </c>
    </row>
    <row r="127" spans="1:10" x14ac:dyDescent="0.3">
      <c r="A127" s="17" t="s">
        <v>176</v>
      </c>
      <c r="B127" s="18">
        <v>43525</v>
      </c>
      <c r="C127" s="17">
        <v>2019</v>
      </c>
      <c r="D127" s="19" t="s">
        <v>40</v>
      </c>
      <c r="E127" s="19" t="s">
        <v>136</v>
      </c>
      <c r="F127" s="19" t="s">
        <v>8</v>
      </c>
      <c r="G127" s="19" t="s">
        <v>41</v>
      </c>
      <c r="H127" s="20">
        <v>1112</v>
      </c>
      <c r="I127" s="21">
        <v>4</v>
      </c>
      <c r="J127" s="20">
        <f t="shared" si="1"/>
        <v>4448</v>
      </c>
    </row>
    <row r="128" spans="1:10" x14ac:dyDescent="0.3">
      <c r="A128" s="17" t="s">
        <v>177</v>
      </c>
      <c r="B128" s="18">
        <v>43525</v>
      </c>
      <c r="C128" s="17">
        <v>2019</v>
      </c>
      <c r="D128" s="19" t="s">
        <v>47</v>
      </c>
      <c r="E128" s="19" t="s">
        <v>134</v>
      </c>
      <c r="F128" s="19" t="s">
        <v>8</v>
      </c>
      <c r="G128" s="19" t="s">
        <v>41</v>
      </c>
      <c r="H128" s="20">
        <v>973</v>
      </c>
      <c r="I128" s="21">
        <v>10</v>
      </c>
      <c r="J128" s="20">
        <f t="shared" si="1"/>
        <v>9730</v>
      </c>
    </row>
    <row r="129" spans="1:10" x14ac:dyDescent="0.3">
      <c r="A129" s="17" t="s">
        <v>178</v>
      </c>
      <c r="B129" s="18">
        <v>43535</v>
      </c>
      <c r="C129" s="17">
        <v>2019</v>
      </c>
      <c r="D129" s="19" t="s">
        <v>30</v>
      </c>
      <c r="E129" s="19" t="s">
        <v>136</v>
      </c>
      <c r="F129" s="19" t="s">
        <v>8</v>
      </c>
      <c r="G129" s="19" t="s">
        <v>91</v>
      </c>
      <c r="H129" s="20">
        <v>826</v>
      </c>
      <c r="I129" s="21">
        <v>5</v>
      </c>
      <c r="J129" s="20">
        <f t="shared" si="1"/>
        <v>4130</v>
      </c>
    </row>
    <row r="130" spans="1:10" x14ac:dyDescent="0.3">
      <c r="A130" s="17" t="s">
        <v>179</v>
      </c>
      <c r="B130" s="18">
        <v>43535</v>
      </c>
      <c r="C130" s="17">
        <v>2019</v>
      </c>
      <c r="D130" s="19" t="s">
        <v>33</v>
      </c>
      <c r="E130" s="19" t="s">
        <v>134</v>
      </c>
      <c r="F130" s="19" t="s">
        <v>8</v>
      </c>
      <c r="G130" s="19" t="s">
        <v>91</v>
      </c>
      <c r="H130" s="20">
        <v>744</v>
      </c>
      <c r="I130" s="21">
        <v>10</v>
      </c>
      <c r="J130" s="20">
        <f t="shared" si="1"/>
        <v>7440</v>
      </c>
    </row>
    <row r="131" spans="1:10" x14ac:dyDescent="0.3">
      <c r="A131" s="17" t="s">
        <v>180</v>
      </c>
      <c r="B131" s="18">
        <v>43535</v>
      </c>
      <c r="C131" s="17">
        <v>2019</v>
      </c>
      <c r="D131" s="19" t="s">
        <v>44</v>
      </c>
      <c r="E131" s="19" t="s">
        <v>136</v>
      </c>
      <c r="F131" s="19" t="s">
        <v>8</v>
      </c>
      <c r="G131" s="19" t="s">
        <v>91</v>
      </c>
      <c r="H131" s="20">
        <v>387</v>
      </c>
      <c r="I131" s="21">
        <v>10</v>
      </c>
      <c r="J131" s="20">
        <f t="shared" ref="J131:J194" si="2">H131*I131</f>
        <v>3870</v>
      </c>
    </row>
    <row r="132" spans="1:10" x14ac:dyDescent="0.3">
      <c r="A132" s="17" t="s">
        <v>181</v>
      </c>
      <c r="B132" s="18">
        <v>43547</v>
      </c>
      <c r="C132" s="17">
        <v>2019</v>
      </c>
      <c r="D132" s="19" t="s">
        <v>40</v>
      </c>
      <c r="E132" s="19" t="s">
        <v>134</v>
      </c>
      <c r="F132" s="19" t="s">
        <v>1</v>
      </c>
      <c r="G132" s="19" t="s">
        <v>91</v>
      </c>
      <c r="H132" s="20">
        <v>653</v>
      </c>
      <c r="I132" s="21">
        <v>10</v>
      </c>
      <c r="J132" s="20">
        <f t="shared" si="2"/>
        <v>6530</v>
      </c>
    </row>
    <row r="133" spans="1:10" x14ac:dyDescent="0.3">
      <c r="A133" s="17" t="s">
        <v>182</v>
      </c>
      <c r="B133" s="18">
        <v>43547</v>
      </c>
      <c r="C133" s="17">
        <v>2019</v>
      </c>
      <c r="D133" s="19" t="s">
        <v>47</v>
      </c>
      <c r="E133" s="19" t="s">
        <v>27</v>
      </c>
      <c r="F133" s="19" t="s">
        <v>1</v>
      </c>
      <c r="G133" s="19" t="s">
        <v>91</v>
      </c>
      <c r="H133" s="20">
        <v>986</v>
      </c>
      <c r="I133" s="21">
        <v>3</v>
      </c>
      <c r="J133" s="20">
        <f t="shared" si="2"/>
        <v>2958</v>
      </c>
    </row>
    <row r="134" spans="1:10" x14ac:dyDescent="0.3">
      <c r="A134" s="17" t="s">
        <v>183</v>
      </c>
      <c r="B134" s="18">
        <v>43553</v>
      </c>
      <c r="C134" s="17">
        <v>2019</v>
      </c>
      <c r="D134" s="19" t="s">
        <v>47</v>
      </c>
      <c r="E134" s="19" t="s">
        <v>27</v>
      </c>
      <c r="F134" s="19" t="s">
        <v>1</v>
      </c>
      <c r="G134" s="19" t="s">
        <v>91</v>
      </c>
      <c r="H134" s="20">
        <v>962</v>
      </c>
      <c r="I134" s="21">
        <v>2</v>
      </c>
      <c r="J134" s="20">
        <f t="shared" si="2"/>
        <v>1924</v>
      </c>
    </row>
    <row r="135" spans="1:10" x14ac:dyDescent="0.3">
      <c r="A135" s="17" t="s">
        <v>184</v>
      </c>
      <c r="B135" s="18">
        <v>43566</v>
      </c>
      <c r="C135" s="17">
        <v>2019</v>
      </c>
      <c r="D135" s="19" t="s">
        <v>26</v>
      </c>
      <c r="E135" s="19" t="s">
        <v>27</v>
      </c>
      <c r="F135" s="19" t="s">
        <v>1</v>
      </c>
      <c r="G135" s="19" t="s">
        <v>91</v>
      </c>
      <c r="H135" s="20">
        <v>569</v>
      </c>
      <c r="I135" s="21">
        <v>2</v>
      </c>
      <c r="J135" s="20">
        <f t="shared" si="2"/>
        <v>1138</v>
      </c>
    </row>
    <row r="136" spans="1:10" x14ac:dyDescent="0.3">
      <c r="A136" s="17" t="s">
        <v>185</v>
      </c>
      <c r="B136" s="18">
        <v>43566</v>
      </c>
      <c r="C136" s="17">
        <v>2019</v>
      </c>
      <c r="D136" s="19" t="s">
        <v>40</v>
      </c>
      <c r="E136" s="19" t="s">
        <v>27</v>
      </c>
      <c r="F136" s="19" t="s">
        <v>1</v>
      </c>
      <c r="G136" s="19" t="s">
        <v>91</v>
      </c>
      <c r="H136" s="20">
        <v>467</v>
      </c>
      <c r="I136" s="21">
        <v>2</v>
      </c>
      <c r="J136" s="20">
        <f t="shared" si="2"/>
        <v>934</v>
      </c>
    </row>
    <row r="137" spans="1:10" x14ac:dyDescent="0.3">
      <c r="A137" s="17" t="s">
        <v>186</v>
      </c>
      <c r="B137" s="18">
        <v>43566</v>
      </c>
      <c r="C137" s="17">
        <v>2019</v>
      </c>
      <c r="D137" s="19" t="s">
        <v>26</v>
      </c>
      <c r="E137" s="19" t="s">
        <v>27</v>
      </c>
      <c r="F137" s="19" t="s">
        <v>1</v>
      </c>
      <c r="G137" s="19" t="s">
        <v>91</v>
      </c>
      <c r="H137" s="20">
        <v>600</v>
      </c>
      <c r="I137" s="21">
        <v>2</v>
      </c>
      <c r="J137" s="20">
        <f t="shared" si="2"/>
        <v>1200</v>
      </c>
    </row>
    <row r="138" spans="1:10" x14ac:dyDescent="0.3">
      <c r="A138" s="17" t="s">
        <v>187</v>
      </c>
      <c r="B138" s="18">
        <v>43569</v>
      </c>
      <c r="C138" s="17">
        <v>2019</v>
      </c>
      <c r="D138" s="19" t="s">
        <v>47</v>
      </c>
      <c r="E138" s="23" t="s">
        <v>134</v>
      </c>
      <c r="F138" s="19" t="s">
        <v>1</v>
      </c>
      <c r="G138" s="19" t="s">
        <v>91</v>
      </c>
      <c r="H138" s="20">
        <v>700</v>
      </c>
      <c r="I138" s="21">
        <v>2</v>
      </c>
      <c r="J138" s="20">
        <f t="shared" si="2"/>
        <v>1400</v>
      </c>
    </row>
    <row r="139" spans="1:10" x14ac:dyDescent="0.3">
      <c r="A139" s="17" t="s">
        <v>188</v>
      </c>
      <c r="B139" s="18">
        <v>43572</v>
      </c>
      <c r="C139" s="17">
        <v>2019</v>
      </c>
      <c r="D139" s="19" t="s">
        <v>47</v>
      </c>
      <c r="E139" s="23" t="s">
        <v>136</v>
      </c>
      <c r="F139" s="19" t="s">
        <v>1</v>
      </c>
      <c r="G139" s="19" t="s">
        <v>91</v>
      </c>
      <c r="H139" s="20">
        <v>358</v>
      </c>
      <c r="I139" s="21">
        <v>2</v>
      </c>
      <c r="J139" s="20">
        <f t="shared" si="2"/>
        <v>716</v>
      </c>
    </row>
    <row r="140" spans="1:10" x14ac:dyDescent="0.3">
      <c r="A140" s="17" t="s">
        <v>189</v>
      </c>
      <c r="B140" s="18">
        <v>43574</v>
      </c>
      <c r="C140" s="17">
        <v>2019</v>
      </c>
      <c r="D140" s="19" t="s">
        <v>47</v>
      </c>
      <c r="E140" s="23" t="s">
        <v>134</v>
      </c>
      <c r="F140" s="19" t="s">
        <v>1</v>
      </c>
      <c r="G140" s="19" t="s">
        <v>99</v>
      </c>
      <c r="H140" s="20">
        <v>400</v>
      </c>
      <c r="I140" s="21">
        <v>2</v>
      </c>
      <c r="J140" s="20">
        <f t="shared" si="2"/>
        <v>800</v>
      </c>
    </row>
    <row r="141" spans="1:10" x14ac:dyDescent="0.3">
      <c r="A141" s="17" t="s">
        <v>190</v>
      </c>
      <c r="B141" s="18">
        <v>43576</v>
      </c>
      <c r="C141" s="17">
        <v>2019</v>
      </c>
      <c r="D141" s="19" t="s">
        <v>26</v>
      </c>
      <c r="E141" s="23" t="s">
        <v>136</v>
      </c>
      <c r="F141" s="19" t="s">
        <v>1</v>
      </c>
      <c r="G141" s="19" t="s">
        <v>99</v>
      </c>
      <c r="H141" s="20">
        <v>400</v>
      </c>
      <c r="I141" s="21">
        <v>8</v>
      </c>
      <c r="J141" s="20">
        <f t="shared" si="2"/>
        <v>3200</v>
      </c>
    </row>
    <row r="142" spans="1:10" x14ac:dyDescent="0.3">
      <c r="A142" s="17" t="s">
        <v>191</v>
      </c>
      <c r="B142" s="18">
        <v>43580</v>
      </c>
      <c r="C142" s="17">
        <v>2019</v>
      </c>
      <c r="D142" s="19" t="s">
        <v>33</v>
      </c>
      <c r="E142" s="23" t="s">
        <v>134</v>
      </c>
      <c r="F142" s="19" t="s">
        <v>1</v>
      </c>
      <c r="G142" s="19" t="s">
        <v>99</v>
      </c>
      <c r="H142" s="20">
        <v>400</v>
      </c>
      <c r="I142" s="21">
        <v>3</v>
      </c>
      <c r="J142" s="20">
        <f t="shared" si="2"/>
        <v>1200</v>
      </c>
    </row>
    <row r="143" spans="1:10" x14ac:dyDescent="0.3">
      <c r="A143" s="17" t="s">
        <v>192</v>
      </c>
      <c r="B143" s="18">
        <v>43584</v>
      </c>
      <c r="C143" s="17">
        <v>2019</v>
      </c>
      <c r="D143" s="19" t="s">
        <v>44</v>
      </c>
      <c r="E143" s="23" t="s">
        <v>136</v>
      </c>
      <c r="F143" s="19" t="s">
        <v>1</v>
      </c>
      <c r="G143" s="19" t="s">
        <v>99</v>
      </c>
      <c r="H143" s="20">
        <v>400</v>
      </c>
      <c r="I143" s="21">
        <v>8</v>
      </c>
      <c r="J143" s="20">
        <f t="shared" si="2"/>
        <v>3200</v>
      </c>
    </row>
    <row r="144" spans="1:10" x14ac:dyDescent="0.3">
      <c r="A144" s="17" t="s">
        <v>193</v>
      </c>
      <c r="B144" s="18">
        <v>43590</v>
      </c>
      <c r="C144" s="17">
        <v>2019</v>
      </c>
      <c r="D144" s="19" t="s">
        <v>40</v>
      </c>
      <c r="E144" s="23" t="s">
        <v>134</v>
      </c>
      <c r="F144" s="19" t="s">
        <v>1</v>
      </c>
      <c r="G144" s="19" t="s">
        <v>99</v>
      </c>
      <c r="H144" s="20">
        <v>400</v>
      </c>
      <c r="I144" s="21">
        <v>8</v>
      </c>
      <c r="J144" s="20">
        <f t="shared" si="2"/>
        <v>3200</v>
      </c>
    </row>
    <row r="145" spans="1:10" x14ac:dyDescent="0.3">
      <c r="A145" s="17" t="s">
        <v>194</v>
      </c>
      <c r="B145" s="18">
        <v>43592</v>
      </c>
      <c r="C145" s="17">
        <v>2019</v>
      </c>
      <c r="D145" s="19" t="s">
        <v>33</v>
      </c>
      <c r="E145" s="23" t="s">
        <v>136</v>
      </c>
      <c r="F145" s="19" t="s">
        <v>1</v>
      </c>
      <c r="G145" s="19" t="s">
        <v>99</v>
      </c>
      <c r="H145" s="20">
        <v>400</v>
      </c>
      <c r="I145" s="21">
        <v>6</v>
      </c>
      <c r="J145" s="20">
        <f t="shared" si="2"/>
        <v>2400</v>
      </c>
    </row>
    <row r="146" spans="1:10" x14ac:dyDescent="0.3">
      <c r="A146" s="17" t="s">
        <v>195</v>
      </c>
      <c r="B146" s="18">
        <v>43599</v>
      </c>
      <c r="C146" s="17">
        <v>2019</v>
      </c>
      <c r="D146" s="19" t="s">
        <v>40</v>
      </c>
      <c r="E146" s="23" t="s">
        <v>134</v>
      </c>
      <c r="F146" s="19" t="s">
        <v>1</v>
      </c>
      <c r="G146" s="19" t="s">
        <v>114</v>
      </c>
      <c r="H146" s="20">
        <v>519</v>
      </c>
      <c r="I146" s="21">
        <v>3</v>
      </c>
      <c r="J146" s="20">
        <f t="shared" si="2"/>
        <v>1557</v>
      </c>
    </row>
    <row r="147" spans="1:10" x14ac:dyDescent="0.3">
      <c r="A147" s="17" t="s">
        <v>196</v>
      </c>
      <c r="B147" s="18">
        <v>43599</v>
      </c>
      <c r="C147" s="17">
        <v>2019</v>
      </c>
      <c r="D147" s="19" t="s">
        <v>30</v>
      </c>
      <c r="E147" s="23" t="s">
        <v>136</v>
      </c>
      <c r="F147" s="19" t="s">
        <v>1</v>
      </c>
      <c r="G147" s="19" t="s">
        <v>114</v>
      </c>
      <c r="H147" s="20">
        <v>453</v>
      </c>
      <c r="I147" s="21">
        <v>4</v>
      </c>
      <c r="J147" s="20">
        <f t="shared" si="2"/>
        <v>1812</v>
      </c>
    </row>
    <row r="148" spans="1:10" x14ac:dyDescent="0.3">
      <c r="A148" s="17" t="s">
        <v>197</v>
      </c>
      <c r="B148" s="18">
        <v>43599</v>
      </c>
      <c r="C148" s="17">
        <v>2019</v>
      </c>
      <c r="D148" s="19" t="s">
        <v>26</v>
      </c>
      <c r="E148" s="19" t="s">
        <v>97</v>
      </c>
      <c r="F148" s="19" t="s">
        <v>9</v>
      </c>
      <c r="G148" s="19" t="s">
        <v>114</v>
      </c>
      <c r="H148" s="20">
        <v>632</v>
      </c>
      <c r="I148" s="21">
        <v>6</v>
      </c>
      <c r="J148" s="20">
        <f t="shared" si="2"/>
        <v>3792</v>
      </c>
    </row>
    <row r="149" spans="1:10" x14ac:dyDescent="0.3">
      <c r="A149" s="17" t="s">
        <v>198</v>
      </c>
      <c r="B149" s="18">
        <v>43599</v>
      </c>
      <c r="C149" s="17">
        <v>2019</v>
      </c>
      <c r="D149" s="19" t="s">
        <v>40</v>
      </c>
      <c r="E149" s="19" t="s">
        <v>97</v>
      </c>
      <c r="F149" s="19" t="s">
        <v>9</v>
      </c>
      <c r="G149" s="19" t="s">
        <v>114</v>
      </c>
      <c r="H149" s="20">
        <v>1368</v>
      </c>
      <c r="I149" s="21">
        <v>5</v>
      </c>
      <c r="J149" s="20">
        <f t="shared" si="2"/>
        <v>6840</v>
      </c>
    </row>
    <row r="150" spans="1:10" x14ac:dyDescent="0.3">
      <c r="A150" s="17" t="s">
        <v>199</v>
      </c>
      <c r="B150" s="18">
        <v>43613</v>
      </c>
      <c r="C150" s="17">
        <v>2019</v>
      </c>
      <c r="D150" s="19" t="s">
        <v>30</v>
      </c>
      <c r="E150" s="19" t="s">
        <v>97</v>
      </c>
      <c r="F150" s="19" t="s">
        <v>9</v>
      </c>
      <c r="G150" s="19" t="s">
        <v>114</v>
      </c>
      <c r="H150" s="20">
        <v>1299</v>
      </c>
      <c r="I150" s="21">
        <v>3</v>
      </c>
      <c r="J150" s="20">
        <f t="shared" si="2"/>
        <v>3897</v>
      </c>
    </row>
    <row r="151" spans="1:10" x14ac:dyDescent="0.3">
      <c r="A151" s="17" t="s">
        <v>200</v>
      </c>
      <c r="B151" s="18">
        <v>43615</v>
      </c>
      <c r="C151" s="17">
        <v>2019</v>
      </c>
      <c r="D151" s="19" t="s">
        <v>44</v>
      </c>
      <c r="E151" s="19" t="s">
        <v>97</v>
      </c>
      <c r="F151" s="19" t="s">
        <v>9</v>
      </c>
      <c r="G151" s="19" t="s">
        <v>114</v>
      </c>
      <c r="H151" s="20">
        <v>1236</v>
      </c>
      <c r="I151" s="21">
        <v>6</v>
      </c>
      <c r="J151" s="20">
        <f t="shared" si="2"/>
        <v>7416</v>
      </c>
    </row>
    <row r="152" spans="1:10" x14ac:dyDescent="0.3">
      <c r="A152" s="17" t="s">
        <v>201</v>
      </c>
      <c r="B152" s="18">
        <v>43621</v>
      </c>
      <c r="C152" s="17">
        <v>2019</v>
      </c>
      <c r="D152" s="19" t="s">
        <v>33</v>
      </c>
      <c r="E152" s="19" t="s">
        <v>97</v>
      </c>
      <c r="F152" s="19" t="s">
        <v>9</v>
      </c>
      <c r="G152" s="19" t="s">
        <v>114</v>
      </c>
      <c r="H152" s="20">
        <v>688</v>
      </c>
      <c r="I152" s="21">
        <v>4</v>
      </c>
      <c r="J152" s="20">
        <f t="shared" si="2"/>
        <v>2752</v>
      </c>
    </row>
    <row r="153" spans="1:10" x14ac:dyDescent="0.3">
      <c r="A153" s="17" t="s">
        <v>202</v>
      </c>
      <c r="B153" s="18">
        <v>43628</v>
      </c>
      <c r="C153" s="17">
        <v>2019</v>
      </c>
      <c r="D153" s="19" t="s">
        <v>35</v>
      </c>
      <c r="E153" s="19" t="s">
        <v>36</v>
      </c>
      <c r="F153" s="19" t="s">
        <v>9</v>
      </c>
      <c r="G153" s="19" t="s">
        <v>28</v>
      </c>
      <c r="H153" s="20">
        <v>400</v>
      </c>
      <c r="I153" s="21">
        <v>1</v>
      </c>
      <c r="J153" s="20">
        <f t="shared" si="2"/>
        <v>400</v>
      </c>
    </row>
    <row r="154" spans="1:10" x14ac:dyDescent="0.3">
      <c r="A154" s="17" t="s">
        <v>203</v>
      </c>
      <c r="B154" s="18">
        <v>43633</v>
      </c>
      <c r="C154" s="17">
        <v>2019</v>
      </c>
      <c r="D154" s="19" t="s">
        <v>26</v>
      </c>
      <c r="E154" s="19" t="s">
        <v>36</v>
      </c>
      <c r="F154" s="19" t="s">
        <v>9</v>
      </c>
      <c r="G154" s="19" t="s">
        <v>28</v>
      </c>
      <c r="H154" s="20">
        <v>500</v>
      </c>
      <c r="I154" s="21">
        <v>4</v>
      </c>
      <c r="J154" s="20">
        <f t="shared" si="2"/>
        <v>2000</v>
      </c>
    </row>
    <row r="155" spans="1:10" x14ac:dyDescent="0.3">
      <c r="A155" s="17" t="s">
        <v>204</v>
      </c>
      <c r="B155" s="18">
        <v>43636</v>
      </c>
      <c r="C155" s="17">
        <v>2019</v>
      </c>
      <c r="D155" s="19" t="s">
        <v>30</v>
      </c>
      <c r="E155" s="19" t="s">
        <v>36</v>
      </c>
      <c r="F155" s="19" t="s">
        <v>9</v>
      </c>
      <c r="G155" s="19" t="s">
        <v>28</v>
      </c>
      <c r="H155" s="20">
        <v>500</v>
      </c>
      <c r="I155" s="21">
        <v>5</v>
      </c>
      <c r="J155" s="20">
        <f t="shared" si="2"/>
        <v>2500</v>
      </c>
    </row>
    <row r="156" spans="1:10" x14ac:dyDescent="0.3">
      <c r="A156" s="17" t="s">
        <v>205</v>
      </c>
      <c r="B156" s="18">
        <v>43641</v>
      </c>
      <c r="C156" s="17">
        <v>2019</v>
      </c>
      <c r="D156" s="19" t="s">
        <v>33</v>
      </c>
      <c r="E156" s="19" t="s">
        <v>36</v>
      </c>
      <c r="F156" s="19" t="s">
        <v>9</v>
      </c>
      <c r="G156" s="19" t="s">
        <v>28</v>
      </c>
      <c r="H156" s="20">
        <v>500</v>
      </c>
      <c r="I156" s="21">
        <v>3</v>
      </c>
      <c r="J156" s="20">
        <f t="shared" si="2"/>
        <v>1500</v>
      </c>
    </row>
    <row r="157" spans="1:10" x14ac:dyDescent="0.3">
      <c r="A157" s="17" t="s">
        <v>206</v>
      </c>
      <c r="B157" s="18">
        <v>43644</v>
      </c>
      <c r="C157" s="17">
        <v>2019</v>
      </c>
      <c r="D157" s="19" t="s">
        <v>30</v>
      </c>
      <c r="E157" s="19" t="s">
        <v>76</v>
      </c>
      <c r="F157" s="19" t="s">
        <v>9</v>
      </c>
      <c r="G157" s="19" t="s">
        <v>28</v>
      </c>
      <c r="H157" s="20">
        <v>500</v>
      </c>
      <c r="I157" s="21">
        <v>1</v>
      </c>
      <c r="J157" s="20">
        <f t="shared" si="2"/>
        <v>500</v>
      </c>
    </row>
    <row r="158" spans="1:10" x14ac:dyDescent="0.3">
      <c r="A158" s="17" t="s">
        <v>207</v>
      </c>
      <c r="B158" s="18">
        <v>43645</v>
      </c>
      <c r="C158" s="17">
        <v>2019</v>
      </c>
      <c r="D158" s="19" t="s">
        <v>40</v>
      </c>
      <c r="E158" s="19" t="s">
        <v>76</v>
      </c>
      <c r="F158" s="19" t="s">
        <v>9</v>
      </c>
      <c r="G158" s="19" t="s">
        <v>28</v>
      </c>
      <c r="H158" s="20">
        <v>500</v>
      </c>
      <c r="I158" s="21">
        <v>4</v>
      </c>
      <c r="J158" s="20">
        <f t="shared" si="2"/>
        <v>2000</v>
      </c>
    </row>
    <row r="159" spans="1:10" x14ac:dyDescent="0.3">
      <c r="A159" s="17" t="s">
        <v>208</v>
      </c>
      <c r="B159" s="18">
        <v>43651</v>
      </c>
      <c r="C159" s="17">
        <v>2019</v>
      </c>
      <c r="D159" s="19" t="s">
        <v>33</v>
      </c>
      <c r="E159" s="19" t="s">
        <v>76</v>
      </c>
      <c r="F159" s="19" t="s">
        <v>9</v>
      </c>
      <c r="G159" s="19" t="s">
        <v>28</v>
      </c>
      <c r="H159" s="20">
        <v>500</v>
      </c>
      <c r="I159" s="21">
        <v>5</v>
      </c>
      <c r="J159" s="20">
        <f t="shared" si="2"/>
        <v>2500</v>
      </c>
    </row>
    <row r="160" spans="1:10" x14ac:dyDescent="0.3">
      <c r="A160" s="17" t="s">
        <v>209</v>
      </c>
      <c r="B160" s="18">
        <v>43653</v>
      </c>
      <c r="C160" s="17">
        <v>2019</v>
      </c>
      <c r="D160" s="19" t="s">
        <v>44</v>
      </c>
      <c r="E160" s="19" t="s">
        <v>76</v>
      </c>
      <c r="F160" s="19" t="s">
        <v>210</v>
      </c>
      <c r="G160" s="19" t="s">
        <v>28</v>
      </c>
      <c r="H160" s="20">
        <v>500</v>
      </c>
      <c r="I160" s="21">
        <v>3</v>
      </c>
      <c r="J160" s="20">
        <f t="shared" si="2"/>
        <v>1500</v>
      </c>
    </row>
    <row r="161" spans="1:10" x14ac:dyDescent="0.3">
      <c r="A161" s="17" t="s">
        <v>211</v>
      </c>
      <c r="B161" s="18">
        <v>43676</v>
      </c>
      <c r="C161" s="17">
        <v>2019</v>
      </c>
      <c r="D161" s="19" t="s">
        <v>33</v>
      </c>
      <c r="E161" s="19" t="s">
        <v>76</v>
      </c>
      <c r="F161" s="19" t="s">
        <v>210</v>
      </c>
      <c r="G161" s="19" t="s">
        <v>99</v>
      </c>
      <c r="H161" s="20">
        <v>400</v>
      </c>
      <c r="I161" s="21">
        <v>5</v>
      </c>
      <c r="J161" s="20">
        <f t="shared" si="2"/>
        <v>2000</v>
      </c>
    </row>
    <row r="162" spans="1:10" x14ac:dyDescent="0.3">
      <c r="A162" s="17" t="s">
        <v>212</v>
      </c>
      <c r="B162" s="18">
        <v>43688</v>
      </c>
      <c r="C162" s="17">
        <v>2019</v>
      </c>
      <c r="D162" s="19" t="s">
        <v>40</v>
      </c>
      <c r="E162" s="19" t="s">
        <v>76</v>
      </c>
      <c r="F162" s="19" t="s">
        <v>210</v>
      </c>
      <c r="G162" s="19" t="s">
        <v>99</v>
      </c>
      <c r="H162" s="20">
        <v>400</v>
      </c>
      <c r="I162" s="21">
        <v>4</v>
      </c>
      <c r="J162" s="20">
        <f t="shared" si="2"/>
        <v>1600</v>
      </c>
    </row>
    <row r="163" spans="1:10" x14ac:dyDescent="0.3">
      <c r="A163" s="17" t="s">
        <v>213</v>
      </c>
      <c r="B163" s="18">
        <v>43688</v>
      </c>
      <c r="C163" s="17">
        <v>2019</v>
      </c>
      <c r="D163" s="19" t="s">
        <v>44</v>
      </c>
      <c r="E163" s="19" t="s">
        <v>134</v>
      </c>
      <c r="F163" s="19" t="s">
        <v>210</v>
      </c>
      <c r="G163" s="19" t="s">
        <v>99</v>
      </c>
      <c r="H163" s="20">
        <v>400</v>
      </c>
      <c r="I163" s="21">
        <v>6</v>
      </c>
      <c r="J163" s="20">
        <f t="shared" si="2"/>
        <v>2400</v>
      </c>
    </row>
    <row r="164" spans="1:10" x14ac:dyDescent="0.3">
      <c r="A164" s="17" t="s">
        <v>214</v>
      </c>
      <c r="B164" s="18">
        <v>43693</v>
      </c>
      <c r="C164" s="17">
        <v>2019</v>
      </c>
      <c r="D164" s="19" t="s">
        <v>40</v>
      </c>
      <c r="E164" s="19" t="s">
        <v>134</v>
      </c>
      <c r="F164" s="19" t="s">
        <v>210</v>
      </c>
      <c r="G164" s="19" t="s">
        <v>99</v>
      </c>
      <c r="H164" s="20">
        <v>425</v>
      </c>
      <c r="I164" s="21">
        <v>8</v>
      </c>
      <c r="J164" s="20">
        <f t="shared" si="2"/>
        <v>3400</v>
      </c>
    </row>
    <row r="165" spans="1:10" x14ac:dyDescent="0.3">
      <c r="A165" s="17" t="s">
        <v>215</v>
      </c>
      <c r="B165" s="18">
        <v>43698</v>
      </c>
      <c r="C165" s="17">
        <v>2019</v>
      </c>
      <c r="D165" s="19" t="s">
        <v>40</v>
      </c>
      <c r="E165" s="19" t="s">
        <v>134</v>
      </c>
      <c r="F165" s="19" t="s">
        <v>210</v>
      </c>
      <c r="G165" s="19" t="s">
        <v>99</v>
      </c>
      <c r="H165" s="20">
        <v>425</v>
      </c>
      <c r="I165" s="21">
        <v>4</v>
      </c>
      <c r="J165" s="20">
        <f t="shared" si="2"/>
        <v>1700</v>
      </c>
    </row>
    <row r="166" spans="1:10" x14ac:dyDescent="0.3">
      <c r="A166" s="17" t="s">
        <v>216</v>
      </c>
      <c r="B166" s="18">
        <v>43714</v>
      </c>
      <c r="C166" s="17">
        <v>2019</v>
      </c>
      <c r="D166" s="19" t="s">
        <v>35</v>
      </c>
      <c r="E166" s="19" t="s">
        <v>134</v>
      </c>
      <c r="F166" s="19" t="s">
        <v>210</v>
      </c>
      <c r="G166" s="19" t="s">
        <v>99</v>
      </c>
      <c r="H166" s="20">
        <v>425</v>
      </c>
      <c r="I166" s="21">
        <v>3</v>
      </c>
      <c r="J166" s="20">
        <f t="shared" si="2"/>
        <v>1275</v>
      </c>
    </row>
    <row r="167" spans="1:10" x14ac:dyDescent="0.3">
      <c r="A167" s="17" t="s">
        <v>217</v>
      </c>
      <c r="B167" s="18">
        <v>43718</v>
      </c>
      <c r="C167" s="17">
        <v>2019</v>
      </c>
      <c r="D167" s="19" t="s">
        <v>30</v>
      </c>
      <c r="E167" s="19" t="s">
        <v>134</v>
      </c>
      <c r="F167" s="19" t="s">
        <v>210</v>
      </c>
      <c r="G167" s="19" t="s">
        <v>99</v>
      </c>
      <c r="H167" s="20">
        <v>425</v>
      </c>
      <c r="I167" s="21">
        <v>5</v>
      </c>
      <c r="J167" s="20">
        <f t="shared" si="2"/>
        <v>2125</v>
      </c>
    </row>
    <row r="168" spans="1:10" x14ac:dyDescent="0.3">
      <c r="A168" s="17" t="s">
        <v>218</v>
      </c>
      <c r="B168" s="18">
        <v>43718</v>
      </c>
      <c r="C168" s="17">
        <v>2019</v>
      </c>
      <c r="D168" s="19" t="s">
        <v>47</v>
      </c>
      <c r="E168" s="19" t="s">
        <v>61</v>
      </c>
      <c r="F168" s="19" t="s">
        <v>210</v>
      </c>
      <c r="G168" s="19" t="s">
        <v>99</v>
      </c>
      <c r="H168" s="20">
        <v>425</v>
      </c>
      <c r="I168" s="21">
        <v>6</v>
      </c>
      <c r="J168" s="20">
        <f t="shared" si="2"/>
        <v>2550</v>
      </c>
    </row>
    <row r="169" spans="1:10" x14ac:dyDescent="0.3">
      <c r="A169" s="17" t="s">
        <v>219</v>
      </c>
      <c r="B169" s="18">
        <v>43725</v>
      </c>
      <c r="C169" s="17">
        <v>2019</v>
      </c>
      <c r="D169" s="19" t="s">
        <v>33</v>
      </c>
      <c r="E169" s="19" t="s">
        <v>61</v>
      </c>
      <c r="F169" s="19" t="s">
        <v>210</v>
      </c>
      <c r="G169" s="19" t="s">
        <v>99</v>
      </c>
      <c r="H169" s="20">
        <v>425</v>
      </c>
      <c r="I169" s="21">
        <v>2</v>
      </c>
      <c r="J169" s="20">
        <f t="shared" si="2"/>
        <v>850</v>
      </c>
    </row>
    <row r="170" spans="1:10" x14ac:dyDescent="0.3">
      <c r="A170" s="17" t="s">
        <v>220</v>
      </c>
      <c r="B170" s="18">
        <v>43731</v>
      </c>
      <c r="C170" s="17">
        <v>2019</v>
      </c>
      <c r="D170" s="19" t="s">
        <v>33</v>
      </c>
      <c r="E170" s="19" t="s">
        <v>61</v>
      </c>
      <c r="F170" s="19" t="s">
        <v>210</v>
      </c>
      <c r="G170" s="19" t="s">
        <v>99</v>
      </c>
      <c r="H170" s="20">
        <v>425</v>
      </c>
      <c r="I170" s="21">
        <v>6</v>
      </c>
      <c r="J170" s="20">
        <f t="shared" si="2"/>
        <v>2550</v>
      </c>
    </row>
    <row r="171" spans="1:10" x14ac:dyDescent="0.3">
      <c r="A171" s="17" t="s">
        <v>221</v>
      </c>
      <c r="B171" s="18">
        <v>43732</v>
      </c>
      <c r="C171" s="17">
        <v>2019</v>
      </c>
      <c r="D171" s="19" t="s">
        <v>40</v>
      </c>
      <c r="E171" s="19" t="s">
        <v>61</v>
      </c>
      <c r="F171" s="19" t="s">
        <v>210</v>
      </c>
      <c r="G171" s="19" t="s">
        <v>99</v>
      </c>
      <c r="H171" s="20">
        <v>425</v>
      </c>
      <c r="I171" s="21">
        <v>3</v>
      </c>
      <c r="J171" s="20">
        <f t="shared" si="2"/>
        <v>1275</v>
      </c>
    </row>
    <row r="172" spans="1:10" x14ac:dyDescent="0.3">
      <c r="A172" s="17" t="s">
        <v>222</v>
      </c>
      <c r="B172" s="18">
        <v>43734</v>
      </c>
      <c r="C172" s="17">
        <v>2019</v>
      </c>
      <c r="D172" s="19" t="s">
        <v>35</v>
      </c>
      <c r="E172" s="19" t="s">
        <v>61</v>
      </c>
      <c r="F172" s="19" t="s">
        <v>210</v>
      </c>
      <c r="G172" s="19" t="s">
        <v>99</v>
      </c>
      <c r="H172" s="20">
        <v>425</v>
      </c>
      <c r="I172" s="21">
        <v>5</v>
      </c>
      <c r="J172" s="20">
        <f t="shared" si="2"/>
        <v>2125</v>
      </c>
    </row>
    <row r="173" spans="1:10" x14ac:dyDescent="0.3">
      <c r="A173" s="17" t="s">
        <v>223</v>
      </c>
      <c r="B173" s="18">
        <v>43748</v>
      </c>
      <c r="C173" s="17">
        <v>2019</v>
      </c>
      <c r="D173" s="19" t="s">
        <v>33</v>
      </c>
      <c r="E173" s="19" t="s">
        <v>61</v>
      </c>
      <c r="F173" s="19" t="s">
        <v>210</v>
      </c>
      <c r="G173" s="19" t="s">
        <v>99</v>
      </c>
      <c r="H173" s="20">
        <v>425</v>
      </c>
      <c r="I173" s="21">
        <v>7</v>
      </c>
      <c r="J173" s="20">
        <f t="shared" si="2"/>
        <v>2975</v>
      </c>
    </row>
    <row r="174" spans="1:10" x14ac:dyDescent="0.3">
      <c r="A174" s="17" t="s">
        <v>224</v>
      </c>
      <c r="B174" s="18">
        <v>43748</v>
      </c>
      <c r="C174" s="17">
        <v>2019</v>
      </c>
      <c r="D174" s="19" t="s">
        <v>35</v>
      </c>
      <c r="E174" s="19" t="s">
        <v>36</v>
      </c>
      <c r="F174" s="19" t="s">
        <v>210</v>
      </c>
      <c r="G174" s="19" t="s">
        <v>99</v>
      </c>
      <c r="H174" s="20">
        <v>425</v>
      </c>
      <c r="I174" s="21">
        <v>2</v>
      </c>
      <c r="J174" s="20">
        <f t="shared" si="2"/>
        <v>850</v>
      </c>
    </row>
    <row r="175" spans="1:10" x14ac:dyDescent="0.3">
      <c r="A175" s="17" t="s">
        <v>225</v>
      </c>
      <c r="B175" s="18">
        <v>43751</v>
      </c>
      <c r="C175" s="17">
        <v>2019</v>
      </c>
      <c r="D175" s="19" t="s">
        <v>33</v>
      </c>
      <c r="E175" s="19" t="s">
        <v>36</v>
      </c>
      <c r="F175" s="19" t="s">
        <v>210</v>
      </c>
      <c r="G175" s="19" t="s">
        <v>99</v>
      </c>
      <c r="H175" s="20">
        <v>440</v>
      </c>
      <c r="I175" s="21">
        <v>6</v>
      </c>
      <c r="J175" s="20">
        <f t="shared" si="2"/>
        <v>2640</v>
      </c>
    </row>
    <row r="176" spans="1:10" x14ac:dyDescent="0.3">
      <c r="A176" s="17" t="s">
        <v>226</v>
      </c>
      <c r="B176" s="18">
        <v>43754</v>
      </c>
      <c r="C176" s="17">
        <v>2019</v>
      </c>
      <c r="D176" s="19" t="s">
        <v>44</v>
      </c>
      <c r="E176" s="19" t="s">
        <v>36</v>
      </c>
      <c r="F176" s="19" t="s">
        <v>210</v>
      </c>
      <c r="G176" s="19" t="s">
        <v>99</v>
      </c>
      <c r="H176" s="20">
        <v>440</v>
      </c>
      <c r="I176" s="21">
        <v>7</v>
      </c>
      <c r="J176" s="20">
        <f t="shared" si="2"/>
        <v>3080</v>
      </c>
    </row>
    <row r="177" spans="1:10" x14ac:dyDescent="0.3">
      <c r="A177" s="17" t="s">
        <v>227</v>
      </c>
      <c r="B177" s="18">
        <v>43759</v>
      </c>
      <c r="C177" s="17">
        <v>2019</v>
      </c>
      <c r="D177" s="19" t="s">
        <v>47</v>
      </c>
      <c r="E177" s="19" t="s">
        <v>136</v>
      </c>
      <c r="F177" s="19" t="s">
        <v>210</v>
      </c>
      <c r="G177" s="19" t="s">
        <v>99</v>
      </c>
      <c r="H177" s="20">
        <v>440</v>
      </c>
      <c r="I177" s="21">
        <v>5</v>
      </c>
      <c r="J177" s="20">
        <f t="shared" si="2"/>
        <v>2200</v>
      </c>
    </row>
    <row r="178" spans="1:10" x14ac:dyDescent="0.3">
      <c r="A178" s="17" t="s">
        <v>228</v>
      </c>
      <c r="B178" s="18">
        <v>43762</v>
      </c>
      <c r="C178" s="17">
        <v>2019</v>
      </c>
      <c r="D178" s="19" t="s">
        <v>30</v>
      </c>
      <c r="E178" s="19" t="s">
        <v>136</v>
      </c>
      <c r="F178" s="19" t="s">
        <v>210</v>
      </c>
      <c r="G178" s="19" t="s">
        <v>99</v>
      </c>
      <c r="H178" s="20">
        <v>440</v>
      </c>
      <c r="I178" s="21">
        <v>8</v>
      </c>
      <c r="J178" s="20">
        <f t="shared" si="2"/>
        <v>3520</v>
      </c>
    </row>
    <row r="179" spans="1:10" x14ac:dyDescent="0.3">
      <c r="A179" s="17" t="s">
        <v>229</v>
      </c>
      <c r="B179" s="18">
        <v>43765</v>
      </c>
      <c r="C179" s="17">
        <v>2019</v>
      </c>
      <c r="D179" s="19" t="s">
        <v>44</v>
      </c>
      <c r="E179" s="19" t="s">
        <v>136</v>
      </c>
      <c r="F179" s="19" t="s">
        <v>210</v>
      </c>
      <c r="G179" s="19" t="s">
        <v>99</v>
      </c>
      <c r="H179" s="20">
        <v>440</v>
      </c>
      <c r="I179" s="21">
        <v>6</v>
      </c>
      <c r="J179" s="20">
        <f t="shared" si="2"/>
        <v>2640</v>
      </c>
    </row>
    <row r="180" spans="1:10" x14ac:dyDescent="0.3">
      <c r="A180" s="17" t="s">
        <v>230</v>
      </c>
      <c r="B180" s="18">
        <v>43765</v>
      </c>
      <c r="C180" s="17">
        <v>2019</v>
      </c>
      <c r="D180" s="19" t="s">
        <v>35</v>
      </c>
      <c r="E180" s="19" t="s">
        <v>136</v>
      </c>
      <c r="F180" s="19" t="s">
        <v>210</v>
      </c>
      <c r="G180" s="19" t="s">
        <v>99</v>
      </c>
      <c r="H180" s="20">
        <v>440</v>
      </c>
      <c r="I180" s="21">
        <v>4</v>
      </c>
      <c r="J180" s="20">
        <f t="shared" si="2"/>
        <v>1760</v>
      </c>
    </row>
    <row r="181" spans="1:10" x14ac:dyDescent="0.3">
      <c r="A181" s="17" t="s">
        <v>231</v>
      </c>
      <c r="B181" s="18">
        <v>43767</v>
      </c>
      <c r="C181" s="17">
        <v>2019</v>
      </c>
      <c r="D181" s="19" t="s">
        <v>40</v>
      </c>
      <c r="E181" s="19" t="s">
        <v>136</v>
      </c>
      <c r="F181" s="19" t="s">
        <v>210</v>
      </c>
      <c r="G181" s="19" t="s">
        <v>99</v>
      </c>
      <c r="H181" s="20">
        <v>440</v>
      </c>
      <c r="I181" s="21">
        <v>8</v>
      </c>
      <c r="J181" s="20">
        <f t="shared" si="2"/>
        <v>3520</v>
      </c>
    </row>
    <row r="182" spans="1:10" x14ac:dyDescent="0.3">
      <c r="A182" s="17" t="s">
        <v>232</v>
      </c>
      <c r="B182" s="18">
        <v>43768</v>
      </c>
      <c r="C182" s="17">
        <v>2019</v>
      </c>
      <c r="D182" s="19" t="s">
        <v>47</v>
      </c>
      <c r="E182" s="19" t="s">
        <v>136</v>
      </c>
      <c r="F182" s="19" t="s">
        <v>210</v>
      </c>
      <c r="G182" s="19" t="s">
        <v>99</v>
      </c>
      <c r="H182" s="20">
        <v>440</v>
      </c>
      <c r="I182" s="21">
        <v>5</v>
      </c>
      <c r="J182" s="20">
        <f t="shared" si="2"/>
        <v>2200</v>
      </c>
    </row>
    <row r="183" spans="1:10" x14ac:dyDescent="0.3">
      <c r="A183" s="17" t="s">
        <v>233</v>
      </c>
      <c r="B183" s="18">
        <v>43774</v>
      </c>
      <c r="C183" s="17">
        <v>2019</v>
      </c>
      <c r="D183" s="19" t="s">
        <v>26</v>
      </c>
      <c r="E183" s="19" t="s">
        <v>31</v>
      </c>
      <c r="F183" s="19" t="s">
        <v>210</v>
      </c>
      <c r="G183" s="19" t="s">
        <v>99</v>
      </c>
      <c r="H183" s="20">
        <v>440</v>
      </c>
      <c r="I183" s="21">
        <v>2</v>
      </c>
      <c r="J183" s="20">
        <f t="shared" si="2"/>
        <v>880</v>
      </c>
    </row>
    <row r="184" spans="1:10" x14ac:dyDescent="0.3">
      <c r="A184" s="17" t="s">
        <v>234</v>
      </c>
      <c r="B184" s="18">
        <v>43778</v>
      </c>
      <c r="C184" s="17">
        <v>2019</v>
      </c>
      <c r="D184" s="19" t="s">
        <v>26</v>
      </c>
      <c r="E184" s="19" t="s">
        <v>31</v>
      </c>
      <c r="F184" s="19" t="s">
        <v>210</v>
      </c>
      <c r="G184" s="19" t="s">
        <v>99</v>
      </c>
      <c r="H184" s="20">
        <v>440</v>
      </c>
      <c r="I184" s="21">
        <v>5</v>
      </c>
      <c r="J184" s="20">
        <f t="shared" si="2"/>
        <v>2200</v>
      </c>
    </row>
    <row r="185" spans="1:10" x14ac:dyDescent="0.3">
      <c r="A185" s="17" t="s">
        <v>235</v>
      </c>
      <c r="B185" s="18">
        <v>43778</v>
      </c>
      <c r="C185" s="17">
        <v>2019</v>
      </c>
      <c r="D185" s="19" t="s">
        <v>30</v>
      </c>
      <c r="E185" s="19" t="s">
        <v>31</v>
      </c>
      <c r="F185" s="19" t="s">
        <v>210</v>
      </c>
      <c r="G185" s="19" t="s">
        <v>99</v>
      </c>
      <c r="H185" s="20">
        <v>440</v>
      </c>
      <c r="I185" s="21">
        <v>3</v>
      </c>
      <c r="J185" s="20">
        <f t="shared" si="2"/>
        <v>1320</v>
      </c>
    </row>
    <row r="186" spans="1:10" x14ac:dyDescent="0.3">
      <c r="A186" s="17" t="s">
        <v>236</v>
      </c>
      <c r="B186" s="18">
        <v>43778</v>
      </c>
      <c r="C186" s="17">
        <v>2019</v>
      </c>
      <c r="D186" s="19" t="s">
        <v>30</v>
      </c>
      <c r="E186" s="19" t="s">
        <v>31</v>
      </c>
      <c r="F186" s="19" t="s">
        <v>210</v>
      </c>
      <c r="G186" s="19" t="s">
        <v>114</v>
      </c>
      <c r="H186" s="20">
        <v>571</v>
      </c>
      <c r="I186" s="21">
        <v>3</v>
      </c>
      <c r="J186" s="20">
        <f t="shared" si="2"/>
        <v>1713</v>
      </c>
    </row>
    <row r="187" spans="1:10" x14ac:dyDescent="0.3">
      <c r="A187" s="17" t="s">
        <v>237</v>
      </c>
      <c r="B187" s="18">
        <v>43778</v>
      </c>
      <c r="C187" s="17">
        <v>2019</v>
      </c>
      <c r="D187" s="19" t="s">
        <v>33</v>
      </c>
      <c r="E187" s="19" t="s">
        <v>31</v>
      </c>
      <c r="F187" s="19" t="s">
        <v>210</v>
      </c>
      <c r="G187" s="19" t="s">
        <v>114</v>
      </c>
      <c r="H187" s="20">
        <v>635</v>
      </c>
      <c r="I187" s="21">
        <v>4</v>
      </c>
      <c r="J187" s="20">
        <f t="shared" si="2"/>
        <v>2540</v>
      </c>
    </row>
    <row r="188" spans="1:10" x14ac:dyDescent="0.3">
      <c r="A188" s="17" t="s">
        <v>238</v>
      </c>
      <c r="B188" s="18">
        <v>43778</v>
      </c>
      <c r="C188" s="17">
        <v>2019</v>
      </c>
      <c r="D188" s="19" t="s">
        <v>44</v>
      </c>
      <c r="E188" s="19" t="s">
        <v>36</v>
      </c>
      <c r="F188" s="19" t="s">
        <v>210</v>
      </c>
      <c r="G188" s="19" t="s">
        <v>114</v>
      </c>
      <c r="H188" s="20">
        <v>1177</v>
      </c>
      <c r="I188" s="21">
        <v>3</v>
      </c>
      <c r="J188" s="20">
        <f t="shared" si="2"/>
        <v>3531</v>
      </c>
    </row>
    <row r="189" spans="1:10" x14ac:dyDescent="0.3">
      <c r="A189" s="17" t="s">
        <v>239</v>
      </c>
      <c r="B189" s="18">
        <v>43778</v>
      </c>
      <c r="C189" s="17">
        <v>2019</v>
      </c>
      <c r="D189" s="19" t="s">
        <v>30</v>
      </c>
      <c r="E189" s="19" t="s">
        <v>36</v>
      </c>
      <c r="F189" s="19" t="s">
        <v>210</v>
      </c>
      <c r="G189" s="19" t="s">
        <v>114</v>
      </c>
      <c r="H189" s="20">
        <v>530</v>
      </c>
      <c r="I189" s="21">
        <v>6</v>
      </c>
      <c r="J189" s="20">
        <f t="shared" si="2"/>
        <v>3180</v>
      </c>
    </row>
    <row r="190" spans="1:10" x14ac:dyDescent="0.3">
      <c r="A190" s="17" t="s">
        <v>240</v>
      </c>
      <c r="B190" s="18">
        <v>43790</v>
      </c>
      <c r="C190" s="17">
        <v>2019</v>
      </c>
      <c r="D190" s="19" t="s">
        <v>30</v>
      </c>
      <c r="E190" s="19" t="s">
        <v>136</v>
      </c>
      <c r="F190" s="19" t="s">
        <v>210</v>
      </c>
      <c r="G190" s="19" t="s">
        <v>114</v>
      </c>
      <c r="H190" s="20">
        <v>617</v>
      </c>
      <c r="I190" s="21">
        <v>6</v>
      </c>
      <c r="J190" s="20">
        <f t="shared" si="2"/>
        <v>3702</v>
      </c>
    </row>
    <row r="191" spans="1:10" x14ac:dyDescent="0.3">
      <c r="A191" s="17" t="s">
        <v>241</v>
      </c>
      <c r="B191" s="18">
        <v>43792</v>
      </c>
      <c r="C191" s="17">
        <v>2019</v>
      </c>
      <c r="D191" s="19" t="s">
        <v>30</v>
      </c>
      <c r="E191" s="19" t="s">
        <v>136</v>
      </c>
      <c r="F191" s="19" t="s">
        <v>210</v>
      </c>
      <c r="G191" s="19" t="s">
        <v>114</v>
      </c>
      <c r="H191" s="20">
        <v>1057</v>
      </c>
      <c r="I191" s="21">
        <v>2</v>
      </c>
      <c r="J191" s="20">
        <f t="shared" si="2"/>
        <v>2114</v>
      </c>
    </row>
    <row r="192" spans="1:10" x14ac:dyDescent="0.3">
      <c r="A192" s="17" t="s">
        <v>242</v>
      </c>
      <c r="B192" s="18">
        <v>43801</v>
      </c>
      <c r="C192" s="17">
        <v>2019</v>
      </c>
      <c r="D192" s="19" t="s">
        <v>26</v>
      </c>
      <c r="E192" s="19" t="s">
        <v>136</v>
      </c>
      <c r="F192" s="19" t="s">
        <v>210</v>
      </c>
      <c r="G192" s="19" t="s">
        <v>50</v>
      </c>
      <c r="H192" s="20">
        <v>18</v>
      </c>
      <c r="I192" s="21">
        <v>73</v>
      </c>
      <c r="J192" s="20">
        <f t="shared" si="2"/>
        <v>1314</v>
      </c>
    </row>
    <row r="193" spans="1:10" x14ac:dyDescent="0.3">
      <c r="A193" s="17" t="s">
        <v>243</v>
      </c>
      <c r="B193" s="18">
        <v>43801</v>
      </c>
      <c r="C193" s="17">
        <v>2019</v>
      </c>
      <c r="D193" s="19" t="s">
        <v>40</v>
      </c>
      <c r="E193" s="19" t="s">
        <v>76</v>
      </c>
      <c r="F193" s="19" t="s">
        <v>210</v>
      </c>
      <c r="G193" s="19" t="s">
        <v>50</v>
      </c>
      <c r="H193" s="20">
        <v>42</v>
      </c>
      <c r="I193" s="21">
        <v>40</v>
      </c>
      <c r="J193" s="20">
        <f t="shared" si="2"/>
        <v>1680</v>
      </c>
    </row>
    <row r="194" spans="1:10" x14ac:dyDescent="0.3">
      <c r="A194" s="17" t="s">
        <v>244</v>
      </c>
      <c r="B194" s="18">
        <v>43803</v>
      </c>
      <c r="C194" s="17">
        <v>2019</v>
      </c>
      <c r="D194" s="19" t="s">
        <v>33</v>
      </c>
      <c r="E194" s="19" t="s">
        <v>76</v>
      </c>
      <c r="F194" s="19" t="s">
        <v>210</v>
      </c>
      <c r="G194" s="19" t="s">
        <v>50</v>
      </c>
      <c r="H194" s="20">
        <v>40</v>
      </c>
      <c r="I194" s="21">
        <v>31</v>
      </c>
      <c r="J194" s="20">
        <f t="shared" si="2"/>
        <v>1240</v>
      </c>
    </row>
    <row r="195" spans="1:10" x14ac:dyDescent="0.3">
      <c r="A195" s="17" t="s">
        <v>245</v>
      </c>
      <c r="B195" s="18">
        <v>43803</v>
      </c>
      <c r="C195" s="17">
        <v>2019</v>
      </c>
      <c r="D195" s="19" t="s">
        <v>26</v>
      </c>
      <c r="E195" s="19" t="s">
        <v>76</v>
      </c>
      <c r="F195" s="19" t="s">
        <v>210</v>
      </c>
      <c r="G195" s="19" t="s">
        <v>50</v>
      </c>
      <c r="H195" s="20">
        <v>23</v>
      </c>
      <c r="I195" s="21">
        <v>38</v>
      </c>
      <c r="J195" s="20">
        <f t="shared" ref="J195:J201" si="3">H195*I195</f>
        <v>874</v>
      </c>
    </row>
    <row r="196" spans="1:10" x14ac:dyDescent="0.3">
      <c r="A196" s="17" t="s">
        <v>246</v>
      </c>
      <c r="B196" s="18">
        <v>43810</v>
      </c>
      <c r="C196" s="17">
        <v>2019</v>
      </c>
      <c r="D196" s="19" t="s">
        <v>33</v>
      </c>
      <c r="E196" s="19" t="s">
        <v>76</v>
      </c>
      <c r="F196" s="19" t="s">
        <v>210</v>
      </c>
      <c r="G196" s="19" t="s">
        <v>50</v>
      </c>
      <c r="H196" s="20">
        <v>43</v>
      </c>
      <c r="I196" s="21">
        <v>45</v>
      </c>
      <c r="J196" s="20">
        <f t="shared" si="3"/>
        <v>1935</v>
      </c>
    </row>
    <row r="197" spans="1:10" x14ac:dyDescent="0.3">
      <c r="A197" s="17" t="s">
        <v>247</v>
      </c>
      <c r="B197" s="18">
        <v>43826</v>
      </c>
      <c r="C197" s="17">
        <v>2019</v>
      </c>
      <c r="D197" s="19" t="s">
        <v>35</v>
      </c>
      <c r="E197" s="19" t="s">
        <v>76</v>
      </c>
      <c r="F197" s="19" t="s">
        <v>210</v>
      </c>
      <c r="G197" s="19" t="s">
        <v>50</v>
      </c>
      <c r="H197" s="20">
        <v>41</v>
      </c>
      <c r="I197" s="21">
        <v>92</v>
      </c>
      <c r="J197" s="20">
        <f t="shared" si="3"/>
        <v>3772</v>
      </c>
    </row>
    <row r="198" spans="1:10" x14ac:dyDescent="0.3">
      <c r="A198" s="17" t="s">
        <v>248</v>
      </c>
      <c r="B198" s="18">
        <v>43826</v>
      </c>
      <c r="C198" s="17">
        <v>2019</v>
      </c>
      <c r="D198" s="19" t="s">
        <v>30</v>
      </c>
      <c r="E198" s="19" t="s">
        <v>76</v>
      </c>
      <c r="F198" s="19" t="s">
        <v>210</v>
      </c>
      <c r="G198" s="19" t="s">
        <v>50</v>
      </c>
      <c r="H198" s="20">
        <v>34</v>
      </c>
      <c r="I198" s="21">
        <v>32</v>
      </c>
      <c r="J198" s="20">
        <f t="shared" si="3"/>
        <v>1088</v>
      </c>
    </row>
    <row r="199" spans="1:10" x14ac:dyDescent="0.3">
      <c r="A199" s="17" t="s">
        <v>249</v>
      </c>
      <c r="B199" s="18">
        <v>43826</v>
      </c>
      <c r="C199" s="17">
        <v>2019</v>
      </c>
      <c r="D199" s="19" t="s">
        <v>47</v>
      </c>
      <c r="E199" s="19" t="s">
        <v>36</v>
      </c>
      <c r="F199" s="19" t="s">
        <v>210</v>
      </c>
      <c r="G199" s="19" t="s">
        <v>50</v>
      </c>
      <c r="H199" s="20">
        <v>15</v>
      </c>
      <c r="I199" s="21">
        <v>47</v>
      </c>
      <c r="J199" s="20">
        <f t="shared" si="3"/>
        <v>705</v>
      </c>
    </row>
    <row r="200" spans="1:10" x14ac:dyDescent="0.3">
      <c r="A200" s="17" t="s">
        <v>250</v>
      </c>
      <c r="B200" s="18">
        <v>43826</v>
      </c>
      <c r="C200" s="17">
        <v>2019</v>
      </c>
      <c r="D200" s="19" t="s">
        <v>30</v>
      </c>
      <c r="E200" s="19" t="s">
        <v>36</v>
      </c>
      <c r="F200" s="19" t="s">
        <v>210</v>
      </c>
      <c r="G200" s="19" t="s">
        <v>50</v>
      </c>
      <c r="H200" s="20">
        <v>13</v>
      </c>
      <c r="I200" s="21">
        <v>33</v>
      </c>
      <c r="J200" s="20">
        <f t="shared" si="3"/>
        <v>429</v>
      </c>
    </row>
    <row r="201" spans="1:10" x14ac:dyDescent="0.3">
      <c r="A201" s="17" t="s">
        <v>251</v>
      </c>
      <c r="B201" s="18">
        <v>43826</v>
      </c>
      <c r="C201" s="17">
        <v>2019</v>
      </c>
      <c r="D201" s="19" t="s">
        <v>40</v>
      </c>
      <c r="E201" s="19" t="s">
        <v>36</v>
      </c>
      <c r="F201" s="19" t="s">
        <v>210</v>
      </c>
      <c r="G201" s="19" t="s">
        <v>50</v>
      </c>
      <c r="H201" s="20">
        <v>29</v>
      </c>
      <c r="I201" s="21">
        <v>79</v>
      </c>
      <c r="J201" s="20">
        <f t="shared" si="3"/>
        <v>2291</v>
      </c>
    </row>
    <row r="202" spans="1:10" x14ac:dyDescent="0.3">
      <c r="E202" s="25"/>
    </row>
    <row r="203" spans="1:10" x14ac:dyDescent="0.3">
      <c r="E203" s="25"/>
    </row>
    <row r="204" spans="1:10" x14ac:dyDescent="0.3">
      <c r="E204" s="25"/>
    </row>
    <row r="205" spans="1:10" x14ac:dyDescent="0.3">
      <c r="E205" s="25"/>
    </row>
    <row r="206" spans="1:10" x14ac:dyDescent="0.3">
      <c r="E206" s="25"/>
    </row>
    <row r="207" spans="1:10" x14ac:dyDescent="0.3">
      <c r="E207" s="25"/>
    </row>
    <row r="208" spans="1:10" x14ac:dyDescent="0.3">
      <c r="E208" s="25"/>
    </row>
    <row r="209" spans="5:10" s="16" customFormat="1" x14ac:dyDescent="0.3">
      <c r="E209" s="25"/>
      <c r="H209" s="26"/>
      <c r="I209" s="26"/>
      <c r="J209" s="26"/>
    </row>
    <row r="210" spans="5:10" s="16" customFormat="1" x14ac:dyDescent="0.3">
      <c r="E210" s="25"/>
      <c r="H210" s="26"/>
      <c r="I210" s="26"/>
      <c r="J210" s="26"/>
    </row>
    <row r="211" spans="5:10" s="16" customFormat="1" x14ac:dyDescent="0.3">
      <c r="E211" s="25"/>
      <c r="H211" s="26"/>
      <c r="I211" s="26"/>
      <c r="J211" s="26"/>
    </row>
    <row r="212" spans="5:10" s="16" customFormat="1" x14ac:dyDescent="0.3">
      <c r="E212" s="25"/>
      <c r="H212" s="26"/>
      <c r="I212" s="26"/>
      <c r="J212" s="26"/>
    </row>
    <row r="213" spans="5:10" s="16" customFormat="1" x14ac:dyDescent="0.3">
      <c r="E213" s="25"/>
      <c r="H213" s="26"/>
      <c r="I213" s="26"/>
      <c r="J213" s="26"/>
    </row>
    <row r="214" spans="5:10" s="16" customFormat="1" x14ac:dyDescent="0.3">
      <c r="E214" s="25"/>
      <c r="H214" s="26"/>
      <c r="I214" s="26"/>
      <c r="J214" s="26"/>
    </row>
    <row r="215" spans="5:10" s="16" customFormat="1" x14ac:dyDescent="0.3">
      <c r="E215" s="25"/>
      <c r="H215" s="26"/>
      <c r="I215" s="26"/>
      <c r="J215" s="26"/>
    </row>
    <row r="216" spans="5:10" s="16" customFormat="1" x14ac:dyDescent="0.3">
      <c r="E216" s="25"/>
      <c r="H216" s="26"/>
      <c r="I216" s="26"/>
      <c r="J216" s="26"/>
    </row>
    <row r="217" spans="5:10" s="16" customFormat="1" x14ac:dyDescent="0.3">
      <c r="E217" s="25"/>
      <c r="H217" s="26"/>
      <c r="I217" s="26"/>
      <c r="J217" s="26"/>
    </row>
    <row r="218" spans="5:10" s="16" customFormat="1" x14ac:dyDescent="0.3">
      <c r="E218" s="25"/>
      <c r="H218" s="26"/>
      <c r="I218" s="26"/>
      <c r="J218" s="26"/>
    </row>
    <row r="219" spans="5:10" s="16" customFormat="1" x14ac:dyDescent="0.3">
      <c r="E219" s="25"/>
      <c r="H219" s="26"/>
      <c r="I219" s="26"/>
      <c r="J219" s="26"/>
    </row>
    <row r="220" spans="5:10" s="16" customFormat="1" x14ac:dyDescent="0.3">
      <c r="E220" s="25"/>
      <c r="H220" s="26"/>
      <c r="I220" s="26"/>
      <c r="J220" s="26"/>
    </row>
    <row r="221" spans="5:10" s="16" customFormat="1" x14ac:dyDescent="0.3">
      <c r="E221" s="25"/>
      <c r="H221" s="26"/>
      <c r="I221" s="26"/>
      <c r="J221" s="26"/>
    </row>
    <row r="222" spans="5:10" s="16" customFormat="1" x14ac:dyDescent="0.3">
      <c r="E222" s="25"/>
      <c r="H222" s="26"/>
      <c r="I222" s="26"/>
      <c r="J222" s="26"/>
    </row>
    <row r="223" spans="5:10" s="16" customFormat="1" x14ac:dyDescent="0.3">
      <c r="E223" s="25"/>
      <c r="H223" s="26"/>
      <c r="I223" s="26"/>
      <c r="J223" s="26"/>
    </row>
    <row r="224" spans="5:10" s="16" customFormat="1" x14ac:dyDescent="0.3">
      <c r="E224" s="25"/>
      <c r="H224" s="26"/>
      <c r="I224" s="26"/>
      <c r="J224" s="26"/>
    </row>
    <row r="225" spans="5:10" s="16" customFormat="1" x14ac:dyDescent="0.3">
      <c r="E225" s="25"/>
      <c r="H225" s="26"/>
      <c r="I225" s="26"/>
      <c r="J225" s="26"/>
    </row>
    <row r="226" spans="5:10" s="16" customFormat="1" x14ac:dyDescent="0.3">
      <c r="E226" s="25"/>
      <c r="H226" s="26"/>
      <c r="I226" s="26"/>
      <c r="J226" s="26"/>
    </row>
    <row r="227" spans="5:10" s="16" customFormat="1" x14ac:dyDescent="0.3">
      <c r="E227" s="25"/>
      <c r="H227" s="26"/>
      <c r="I227" s="26"/>
      <c r="J227" s="26"/>
    </row>
    <row r="228" spans="5:10" s="16" customFormat="1" x14ac:dyDescent="0.3">
      <c r="E228" s="25"/>
      <c r="H228" s="26"/>
      <c r="I228" s="26"/>
      <c r="J228" s="26"/>
    </row>
    <row r="229" spans="5:10" s="16" customFormat="1" x14ac:dyDescent="0.3">
      <c r="E229" s="25"/>
      <c r="H229" s="26"/>
      <c r="I229" s="26"/>
      <c r="J229" s="26"/>
    </row>
    <row r="230" spans="5:10" s="16" customFormat="1" x14ac:dyDescent="0.3">
      <c r="E230" s="25"/>
      <c r="H230" s="26"/>
      <c r="I230" s="26"/>
      <c r="J230" s="26"/>
    </row>
    <row r="231" spans="5:10" s="16" customFormat="1" x14ac:dyDescent="0.3">
      <c r="E231" s="25"/>
      <c r="H231" s="26"/>
      <c r="I231" s="26"/>
      <c r="J231" s="26"/>
    </row>
    <row r="232" spans="5:10" s="16" customFormat="1" x14ac:dyDescent="0.3">
      <c r="E232" s="25"/>
      <c r="H232" s="26"/>
      <c r="I232" s="26"/>
      <c r="J232" s="26"/>
    </row>
    <row r="233" spans="5:10" s="16" customFormat="1" x14ac:dyDescent="0.3">
      <c r="E233" s="25"/>
      <c r="H233" s="26"/>
      <c r="I233" s="26"/>
      <c r="J233" s="26"/>
    </row>
    <row r="234" spans="5:10" s="16" customFormat="1" x14ac:dyDescent="0.3">
      <c r="E234" s="25"/>
      <c r="H234" s="26"/>
      <c r="I234" s="26"/>
      <c r="J234" s="26"/>
    </row>
    <row r="235" spans="5:10" s="16" customFormat="1" x14ac:dyDescent="0.3">
      <c r="E235" s="25"/>
      <c r="H235" s="26"/>
      <c r="I235" s="26"/>
      <c r="J235" s="26"/>
    </row>
    <row r="236" spans="5:10" s="16" customFormat="1" x14ac:dyDescent="0.3">
      <c r="E236" s="25"/>
      <c r="H236" s="26"/>
      <c r="I236" s="26"/>
      <c r="J236" s="26"/>
    </row>
    <row r="237" spans="5:10" s="16" customFormat="1" x14ac:dyDescent="0.3">
      <c r="E237" s="25"/>
      <c r="H237" s="26"/>
      <c r="I237" s="26"/>
      <c r="J237" s="26"/>
    </row>
    <row r="238" spans="5:10" s="16" customFormat="1" x14ac:dyDescent="0.3">
      <c r="E238" s="25"/>
      <c r="H238" s="26"/>
      <c r="I238" s="26"/>
      <c r="J238" s="26"/>
    </row>
    <row r="239" spans="5:10" s="16" customFormat="1" x14ac:dyDescent="0.3">
      <c r="E239" s="25"/>
      <c r="H239" s="26"/>
      <c r="I239" s="26"/>
      <c r="J239" s="26"/>
    </row>
    <row r="240" spans="5:10" s="16" customFormat="1" x14ac:dyDescent="0.3">
      <c r="E240" s="25"/>
      <c r="H240" s="26"/>
      <c r="I240" s="26"/>
      <c r="J240" s="26"/>
    </row>
    <row r="241" spans="5:10" s="16" customFormat="1" x14ac:dyDescent="0.3">
      <c r="E241" s="25"/>
      <c r="H241" s="26"/>
      <c r="I241" s="26"/>
      <c r="J241" s="26"/>
    </row>
    <row r="242" spans="5:10" s="16" customFormat="1" x14ac:dyDescent="0.3">
      <c r="E242" s="25"/>
      <c r="H242" s="26"/>
      <c r="I242" s="26"/>
      <c r="J242" s="26"/>
    </row>
    <row r="243" spans="5:10" s="16" customFormat="1" x14ac:dyDescent="0.3">
      <c r="E243" s="25"/>
      <c r="H243" s="26"/>
      <c r="I243" s="26"/>
      <c r="J243" s="26"/>
    </row>
    <row r="244" spans="5:10" s="16" customFormat="1" x14ac:dyDescent="0.3">
      <c r="E244" s="25"/>
      <c r="H244" s="26"/>
      <c r="I244" s="26"/>
      <c r="J244" s="26"/>
    </row>
    <row r="245" spans="5:10" s="16" customFormat="1" x14ac:dyDescent="0.3">
      <c r="E245" s="25"/>
      <c r="H245" s="26"/>
      <c r="I245" s="26"/>
      <c r="J245" s="26"/>
    </row>
    <row r="246" spans="5:10" s="16" customFormat="1" x14ac:dyDescent="0.3">
      <c r="E246" s="25"/>
      <c r="H246" s="26"/>
      <c r="I246" s="26"/>
      <c r="J246" s="26"/>
    </row>
    <row r="247" spans="5:10" s="16" customFormat="1" x14ac:dyDescent="0.3">
      <c r="E247" s="25"/>
      <c r="H247" s="26"/>
      <c r="I247" s="26"/>
      <c r="J247" s="26"/>
    </row>
    <row r="248" spans="5:10" s="16" customFormat="1" x14ac:dyDescent="0.3">
      <c r="E248" s="25"/>
      <c r="H248" s="26"/>
      <c r="I248" s="26"/>
      <c r="J248" s="26"/>
    </row>
    <row r="249" spans="5:10" s="16" customFormat="1" x14ac:dyDescent="0.3">
      <c r="E249" s="25"/>
      <c r="H249" s="26"/>
      <c r="I249" s="26"/>
      <c r="J249" s="26"/>
    </row>
    <row r="250" spans="5:10" s="16" customFormat="1" x14ac:dyDescent="0.3">
      <c r="E250" s="25"/>
      <c r="H250" s="26"/>
      <c r="I250" s="26"/>
      <c r="J250" s="26"/>
    </row>
    <row r="251" spans="5:10" s="16" customFormat="1" x14ac:dyDescent="0.3">
      <c r="E251" s="25"/>
      <c r="H251" s="26"/>
      <c r="I251" s="26"/>
      <c r="J251" s="26"/>
    </row>
    <row r="252" spans="5:10" s="16" customFormat="1" x14ac:dyDescent="0.3">
      <c r="E252" s="25"/>
      <c r="H252" s="26"/>
      <c r="I252" s="26"/>
      <c r="J252" s="26"/>
    </row>
    <row r="253" spans="5:10" s="16" customFormat="1" x14ac:dyDescent="0.3">
      <c r="E253" s="25"/>
      <c r="H253" s="26"/>
      <c r="I253" s="26"/>
      <c r="J253" s="26"/>
    </row>
    <row r="254" spans="5:10" s="16" customFormat="1" x14ac:dyDescent="0.3">
      <c r="E254" s="25"/>
      <c r="H254" s="26"/>
      <c r="I254" s="26"/>
      <c r="J254" s="26"/>
    </row>
    <row r="255" spans="5:10" s="16" customFormat="1" x14ac:dyDescent="0.3">
      <c r="E255" s="25"/>
      <c r="H255" s="26"/>
      <c r="I255" s="26"/>
      <c r="J255" s="26"/>
    </row>
    <row r="256" spans="5:10" s="16" customFormat="1" x14ac:dyDescent="0.3">
      <c r="E256" s="25"/>
      <c r="H256" s="26"/>
      <c r="I256" s="26"/>
      <c r="J256" s="26"/>
    </row>
    <row r="257" spans="5:10" s="16" customFormat="1" x14ac:dyDescent="0.3">
      <c r="E257" s="25"/>
      <c r="H257" s="26"/>
      <c r="I257" s="26"/>
      <c r="J257" s="26"/>
    </row>
    <row r="258" spans="5:10" s="16" customFormat="1" x14ac:dyDescent="0.3">
      <c r="E258" s="25"/>
      <c r="H258" s="26"/>
      <c r="I258" s="26"/>
      <c r="J258" s="26"/>
    </row>
    <row r="259" spans="5:10" s="16" customFormat="1" x14ac:dyDescent="0.3">
      <c r="E259" s="25"/>
      <c r="H259" s="26"/>
      <c r="I259" s="26"/>
      <c r="J259" s="26"/>
    </row>
    <row r="260" spans="5:10" s="16" customFormat="1" x14ac:dyDescent="0.3">
      <c r="E260" s="25"/>
      <c r="H260" s="26"/>
      <c r="I260" s="26"/>
      <c r="J260" s="26"/>
    </row>
    <row r="261" spans="5:10" s="16" customFormat="1" x14ac:dyDescent="0.3">
      <c r="E261" s="25"/>
      <c r="H261" s="26"/>
      <c r="I261" s="26"/>
      <c r="J261" s="26"/>
    </row>
    <row r="262" spans="5:10" s="16" customFormat="1" x14ac:dyDescent="0.3">
      <c r="E262" s="25"/>
      <c r="H262" s="26"/>
      <c r="I262" s="26"/>
      <c r="J262" s="26"/>
    </row>
    <row r="263" spans="5:10" s="16" customFormat="1" x14ac:dyDescent="0.3">
      <c r="E263" s="25"/>
      <c r="H263" s="26"/>
      <c r="I263" s="26"/>
      <c r="J263" s="26"/>
    </row>
    <row r="264" spans="5:10" s="16" customFormat="1" x14ac:dyDescent="0.3">
      <c r="E264" s="25"/>
      <c r="H264" s="26"/>
      <c r="I264" s="26"/>
      <c r="J264" s="26"/>
    </row>
    <row r="265" spans="5:10" s="16" customFormat="1" x14ac:dyDescent="0.3">
      <c r="E265" s="25"/>
      <c r="H265" s="26"/>
      <c r="I265" s="26"/>
      <c r="J265" s="26"/>
    </row>
    <row r="266" spans="5:10" s="16" customFormat="1" x14ac:dyDescent="0.3">
      <c r="E266" s="25"/>
      <c r="H266" s="26"/>
      <c r="I266" s="26"/>
      <c r="J266" s="26"/>
    </row>
    <row r="267" spans="5:10" s="16" customFormat="1" x14ac:dyDescent="0.3">
      <c r="E267" s="25"/>
      <c r="H267" s="26"/>
      <c r="I267" s="26"/>
      <c r="J267" s="26"/>
    </row>
    <row r="268" spans="5:10" s="16" customFormat="1" x14ac:dyDescent="0.3">
      <c r="E268" s="25"/>
      <c r="H268" s="26"/>
      <c r="I268" s="26"/>
      <c r="J268" s="26"/>
    </row>
    <row r="269" spans="5:10" s="16" customFormat="1" x14ac:dyDescent="0.3">
      <c r="E269" s="25"/>
      <c r="H269" s="26"/>
      <c r="I269" s="26"/>
      <c r="J269" s="26"/>
    </row>
    <row r="270" spans="5:10" s="16" customFormat="1" x14ac:dyDescent="0.3">
      <c r="E270" s="25"/>
      <c r="H270" s="26"/>
      <c r="I270" s="26"/>
      <c r="J270" s="26"/>
    </row>
    <row r="271" spans="5:10" s="16" customFormat="1" x14ac:dyDescent="0.3">
      <c r="E271" s="25"/>
      <c r="H271" s="26"/>
      <c r="I271" s="26"/>
      <c r="J271" s="26"/>
    </row>
    <row r="272" spans="5:10" s="16" customFormat="1" x14ac:dyDescent="0.3">
      <c r="E272" s="25"/>
      <c r="H272" s="26"/>
      <c r="I272" s="26"/>
      <c r="J272" s="26"/>
    </row>
    <row r="273" spans="5:10" s="16" customFormat="1" x14ac:dyDescent="0.3">
      <c r="E273" s="25"/>
      <c r="H273" s="26"/>
      <c r="I273" s="26"/>
      <c r="J273" s="26"/>
    </row>
    <row r="274" spans="5:10" s="16" customFormat="1" x14ac:dyDescent="0.3">
      <c r="E274" s="25"/>
      <c r="H274" s="26"/>
      <c r="I274" s="26"/>
      <c r="J274" s="26"/>
    </row>
    <row r="275" spans="5:10" s="16" customFormat="1" x14ac:dyDescent="0.3">
      <c r="E275" s="25"/>
      <c r="H275" s="26"/>
      <c r="I275" s="26"/>
      <c r="J275" s="26"/>
    </row>
    <row r="276" spans="5:10" s="16" customFormat="1" x14ac:dyDescent="0.3">
      <c r="E276" s="25"/>
      <c r="H276" s="26"/>
      <c r="I276" s="26"/>
      <c r="J276" s="26"/>
    </row>
    <row r="277" spans="5:10" s="16" customFormat="1" x14ac:dyDescent="0.3">
      <c r="E277" s="25"/>
      <c r="H277" s="26"/>
      <c r="I277" s="26"/>
      <c r="J277" s="26"/>
    </row>
    <row r="278" spans="5:10" s="16" customFormat="1" x14ac:dyDescent="0.3">
      <c r="E278" s="25"/>
      <c r="H278" s="26"/>
      <c r="I278" s="26"/>
      <c r="J278" s="26"/>
    </row>
    <row r="279" spans="5:10" s="16" customFormat="1" x14ac:dyDescent="0.3">
      <c r="E279" s="25"/>
      <c r="H279" s="26"/>
      <c r="I279" s="26"/>
      <c r="J279" s="26"/>
    </row>
    <row r="280" spans="5:10" s="16" customFormat="1" x14ac:dyDescent="0.3">
      <c r="E280" s="25"/>
      <c r="H280" s="26"/>
      <c r="I280" s="26"/>
      <c r="J280" s="26"/>
    </row>
    <row r="281" spans="5:10" s="16" customFormat="1" x14ac:dyDescent="0.3">
      <c r="E281" s="25"/>
      <c r="H281" s="26"/>
      <c r="I281" s="26"/>
      <c r="J281" s="26"/>
    </row>
    <row r="282" spans="5:10" s="16" customFormat="1" x14ac:dyDescent="0.3">
      <c r="E282" s="25"/>
      <c r="H282" s="26"/>
      <c r="I282" s="26"/>
      <c r="J282" s="26"/>
    </row>
    <row r="283" spans="5:10" s="16" customFormat="1" x14ac:dyDescent="0.3">
      <c r="E283" s="25"/>
      <c r="H283" s="26"/>
      <c r="I283" s="26"/>
      <c r="J283" s="26"/>
    </row>
    <row r="284" spans="5:10" s="16" customFormat="1" x14ac:dyDescent="0.3">
      <c r="E284" s="25"/>
      <c r="H284" s="26"/>
      <c r="I284" s="26"/>
      <c r="J284" s="26"/>
    </row>
    <row r="285" spans="5:10" s="16" customFormat="1" x14ac:dyDescent="0.3">
      <c r="E285" s="25"/>
      <c r="H285" s="26"/>
      <c r="I285" s="26"/>
      <c r="J285" s="26"/>
    </row>
    <row r="286" spans="5:10" s="16" customFormat="1" x14ac:dyDescent="0.3">
      <c r="E286" s="25"/>
      <c r="H286" s="26"/>
      <c r="I286" s="26"/>
      <c r="J286" s="26"/>
    </row>
    <row r="287" spans="5:10" s="16" customFormat="1" x14ac:dyDescent="0.3">
      <c r="E287" s="25"/>
      <c r="H287" s="26"/>
      <c r="I287" s="26"/>
      <c r="J287" s="26"/>
    </row>
    <row r="288" spans="5:10" s="16" customFormat="1" x14ac:dyDescent="0.3">
      <c r="E288" s="25"/>
      <c r="H288" s="26"/>
      <c r="I288" s="26"/>
      <c r="J288" s="26"/>
    </row>
    <row r="289" spans="5:10" s="16" customFormat="1" x14ac:dyDescent="0.3">
      <c r="E289" s="25"/>
      <c r="H289" s="26"/>
      <c r="I289" s="26"/>
      <c r="J289" s="26"/>
    </row>
    <row r="290" spans="5:10" s="16" customFormat="1" x14ac:dyDescent="0.3">
      <c r="E290" s="25"/>
      <c r="H290" s="26"/>
      <c r="I290" s="26"/>
      <c r="J290" s="26"/>
    </row>
    <row r="291" spans="5:10" s="16" customFormat="1" x14ac:dyDescent="0.3">
      <c r="E291" s="25"/>
      <c r="H291" s="26"/>
      <c r="I291" s="26"/>
      <c r="J291" s="26"/>
    </row>
    <row r="292" spans="5:10" s="16" customFormat="1" x14ac:dyDescent="0.3">
      <c r="E292" s="25"/>
      <c r="H292" s="26"/>
      <c r="I292" s="26"/>
      <c r="J292" s="26"/>
    </row>
    <row r="293" spans="5:10" s="16" customFormat="1" x14ac:dyDescent="0.3">
      <c r="E293" s="25"/>
      <c r="H293" s="26"/>
      <c r="I293" s="26"/>
      <c r="J293" s="26"/>
    </row>
    <row r="294" spans="5:10" s="16" customFormat="1" x14ac:dyDescent="0.3">
      <c r="E294" s="25"/>
      <c r="H294" s="26"/>
      <c r="I294" s="26"/>
      <c r="J294" s="26"/>
    </row>
    <row r="295" spans="5:10" s="16" customFormat="1" x14ac:dyDescent="0.3">
      <c r="E295" s="25"/>
      <c r="H295" s="26"/>
      <c r="I295" s="26"/>
      <c r="J295" s="26"/>
    </row>
    <row r="296" spans="5:10" s="16" customFormat="1" x14ac:dyDescent="0.3">
      <c r="E296" s="25"/>
      <c r="H296" s="26"/>
      <c r="I296" s="26"/>
      <c r="J296" s="26"/>
    </row>
    <row r="297" spans="5:10" s="16" customFormat="1" x14ac:dyDescent="0.3">
      <c r="E297" s="25"/>
      <c r="H297" s="26"/>
      <c r="I297" s="26"/>
      <c r="J297" s="26"/>
    </row>
    <row r="298" spans="5:10" s="16" customFormat="1" x14ac:dyDescent="0.3">
      <c r="E298" s="25"/>
      <c r="H298" s="26"/>
      <c r="I298" s="26"/>
      <c r="J298" s="26"/>
    </row>
    <row r="299" spans="5:10" s="16" customFormat="1" x14ac:dyDescent="0.3">
      <c r="E299" s="25"/>
      <c r="H299" s="26"/>
      <c r="I299" s="26"/>
      <c r="J299" s="26"/>
    </row>
    <row r="300" spans="5:10" s="16" customFormat="1" x14ac:dyDescent="0.3">
      <c r="E300" s="25"/>
      <c r="H300" s="26"/>
      <c r="I300" s="26"/>
      <c r="J300" s="26"/>
    </row>
    <row r="301" spans="5:10" s="16" customFormat="1" x14ac:dyDescent="0.3">
      <c r="E301" s="25"/>
      <c r="H301" s="26"/>
      <c r="I301" s="26"/>
      <c r="J301" s="26"/>
    </row>
    <row r="302" spans="5:10" s="16" customFormat="1" x14ac:dyDescent="0.3">
      <c r="E302" s="25"/>
      <c r="H302" s="26"/>
      <c r="I302" s="26"/>
      <c r="J302" s="26"/>
    </row>
    <row r="303" spans="5:10" s="16" customFormat="1" x14ac:dyDescent="0.3">
      <c r="E303" s="25"/>
      <c r="H303" s="26"/>
      <c r="I303" s="26"/>
      <c r="J303" s="26"/>
    </row>
    <row r="304" spans="5:10" s="16" customFormat="1" x14ac:dyDescent="0.3">
      <c r="E304" s="25"/>
      <c r="H304" s="26"/>
      <c r="I304" s="26"/>
      <c r="J304" s="26"/>
    </row>
    <row r="305" spans="5:10" s="16" customFormat="1" x14ac:dyDescent="0.3">
      <c r="E305" s="25"/>
      <c r="H305" s="26"/>
      <c r="I305" s="26"/>
      <c r="J305" s="26"/>
    </row>
    <row r="306" spans="5:10" s="16" customFormat="1" x14ac:dyDescent="0.3">
      <c r="E306" s="25"/>
      <c r="H306" s="26"/>
      <c r="I306" s="26"/>
      <c r="J306" s="26"/>
    </row>
    <row r="307" spans="5:10" s="16" customFormat="1" x14ac:dyDescent="0.3">
      <c r="E307" s="25"/>
      <c r="H307" s="26"/>
      <c r="I307" s="26"/>
      <c r="J307" s="26"/>
    </row>
    <row r="308" spans="5:10" s="16" customFormat="1" x14ac:dyDescent="0.3">
      <c r="E308" s="25"/>
      <c r="H308" s="26"/>
      <c r="I308" s="26"/>
      <c r="J308" s="26"/>
    </row>
    <row r="309" spans="5:10" s="16" customFormat="1" x14ac:dyDescent="0.3">
      <c r="E309" s="25"/>
      <c r="H309" s="26"/>
      <c r="I309" s="26"/>
      <c r="J309" s="26"/>
    </row>
    <row r="310" spans="5:10" s="16" customFormat="1" x14ac:dyDescent="0.3">
      <c r="E310" s="25"/>
      <c r="H310" s="26"/>
      <c r="I310" s="26"/>
      <c r="J310" s="26"/>
    </row>
    <row r="311" spans="5:10" s="16" customFormat="1" x14ac:dyDescent="0.3">
      <c r="E311" s="25"/>
      <c r="H311" s="26"/>
      <c r="I311" s="26"/>
      <c r="J311" s="26"/>
    </row>
    <row r="312" spans="5:10" s="16" customFormat="1" x14ac:dyDescent="0.3">
      <c r="E312" s="25"/>
      <c r="H312" s="26"/>
      <c r="I312" s="26"/>
      <c r="J312" s="26"/>
    </row>
    <row r="313" spans="5:10" s="16" customFormat="1" x14ac:dyDescent="0.3">
      <c r="E313" s="25"/>
      <c r="H313" s="26"/>
      <c r="I313" s="26"/>
      <c r="J313" s="26"/>
    </row>
    <row r="314" spans="5:10" s="16" customFormat="1" x14ac:dyDescent="0.3">
      <c r="E314" s="25"/>
      <c r="H314" s="26"/>
      <c r="I314" s="26"/>
      <c r="J314" s="26"/>
    </row>
    <row r="315" spans="5:10" s="16" customFormat="1" x14ac:dyDescent="0.3">
      <c r="E315" s="25"/>
      <c r="H315" s="26"/>
      <c r="I315" s="26"/>
      <c r="J315" s="26"/>
    </row>
    <row r="316" spans="5:10" s="16" customFormat="1" x14ac:dyDescent="0.3">
      <c r="E316" s="25"/>
      <c r="H316" s="26"/>
      <c r="I316" s="26"/>
      <c r="J316" s="26"/>
    </row>
    <row r="317" spans="5:10" s="16" customFormat="1" x14ac:dyDescent="0.3">
      <c r="E317" s="25"/>
      <c r="H317" s="26"/>
      <c r="I317" s="26"/>
      <c r="J317" s="26"/>
    </row>
    <row r="318" spans="5:10" s="16" customFormat="1" x14ac:dyDescent="0.3">
      <c r="E318" s="25"/>
      <c r="H318" s="26"/>
      <c r="I318" s="26"/>
      <c r="J318" s="26"/>
    </row>
    <row r="319" spans="5:10" s="16" customFormat="1" x14ac:dyDescent="0.3">
      <c r="E319" s="25"/>
      <c r="H319" s="26"/>
      <c r="I319" s="26"/>
      <c r="J319" s="26"/>
    </row>
    <row r="320" spans="5:10" s="16" customFormat="1" x14ac:dyDescent="0.3">
      <c r="E320" s="25"/>
      <c r="H320" s="26"/>
      <c r="I320" s="26"/>
      <c r="J320" s="26"/>
    </row>
    <row r="321" spans="5:10" s="16" customFormat="1" x14ac:dyDescent="0.3">
      <c r="E321" s="25"/>
      <c r="H321" s="26"/>
      <c r="I321" s="26"/>
      <c r="J321" s="26"/>
    </row>
    <row r="322" spans="5:10" s="16" customFormat="1" x14ac:dyDescent="0.3">
      <c r="E322" s="25"/>
      <c r="H322" s="26"/>
      <c r="I322" s="26"/>
      <c r="J322" s="26"/>
    </row>
    <row r="323" spans="5:10" s="16" customFormat="1" x14ac:dyDescent="0.3">
      <c r="E323" s="25"/>
      <c r="H323" s="26"/>
      <c r="I323" s="26"/>
      <c r="J323" s="26"/>
    </row>
    <row r="324" spans="5:10" s="16" customFormat="1" x14ac:dyDescent="0.3">
      <c r="E324" s="25"/>
      <c r="H324" s="26"/>
      <c r="I324" s="26"/>
      <c r="J324" s="26"/>
    </row>
    <row r="325" spans="5:10" s="16" customFormat="1" x14ac:dyDescent="0.3">
      <c r="E325" s="25"/>
      <c r="H325" s="26"/>
      <c r="I325" s="26"/>
      <c r="J325" s="26"/>
    </row>
    <row r="326" spans="5:10" s="16" customFormat="1" x14ac:dyDescent="0.3">
      <c r="E326" s="25"/>
      <c r="H326" s="26"/>
      <c r="I326" s="26"/>
      <c r="J326" s="26"/>
    </row>
    <row r="327" spans="5:10" s="16" customFormat="1" x14ac:dyDescent="0.3">
      <c r="E327" s="25"/>
      <c r="H327" s="26"/>
      <c r="I327" s="26"/>
      <c r="J327" s="26"/>
    </row>
    <row r="328" spans="5:10" s="16" customFormat="1" x14ac:dyDescent="0.3">
      <c r="E328" s="25"/>
      <c r="H328" s="26"/>
      <c r="I328" s="26"/>
      <c r="J328" s="26"/>
    </row>
    <row r="329" spans="5:10" s="16" customFormat="1" x14ac:dyDescent="0.3">
      <c r="E329" s="25"/>
      <c r="H329" s="26"/>
      <c r="I329" s="26"/>
      <c r="J329" s="26"/>
    </row>
    <row r="330" spans="5:10" s="16" customFormat="1" x14ac:dyDescent="0.3">
      <c r="E330" s="25"/>
      <c r="H330" s="26"/>
      <c r="I330" s="26"/>
      <c r="J330" s="26"/>
    </row>
    <row r="331" spans="5:10" s="16" customFormat="1" x14ac:dyDescent="0.3">
      <c r="E331" s="25"/>
      <c r="H331" s="26"/>
      <c r="I331" s="26"/>
      <c r="J331" s="26"/>
    </row>
    <row r="332" spans="5:10" s="16" customFormat="1" x14ac:dyDescent="0.3">
      <c r="E332" s="25"/>
      <c r="H332" s="26"/>
      <c r="I332" s="26"/>
      <c r="J332" s="26"/>
    </row>
    <row r="333" spans="5:10" s="16" customFormat="1" x14ac:dyDescent="0.3">
      <c r="E333" s="25"/>
      <c r="H333" s="26"/>
      <c r="I333" s="26"/>
      <c r="J333" s="26"/>
    </row>
    <row r="334" spans="5:10" s="16" customFormat="1" x14ac:dyDescent="0.3">
      <c r="E334" s="25"/>
      <c r="H334" s="26"/>
      <c r="I334" s="26"/>
      <c r="J334" s="26"/>
    </row>
    <row r="335" spans="5:10" s="16" customFormat="1" x14ac:dyDescent="0.3">
      <c r="E335" s="25"/>
      <c r="H335" s="26"/>
      <c r="I335" s="26"/>
      <c r="J335" s="26"/>
    </row>
    <row r="336" spans="5:10" s="16" customFormat="1" x14ac:dyDescent="0.3">
      <c r="E336" s="25"/>
      <c r="H336" s="26"/>
      <c r="I336" s="26"/>
      <c r="J336" s="26"/>
    </row>
    <row r="337" spans="5:10" s="16" customFormat="1" x14ac:dyDescent="0.3">
      <c r="E337" s="25"/>
      <c r="H337" s="26"/>
      <c r="I337" s="26"/>
      <c r="J337" s="26"/>
    </row>
    <row r="338" spans="5:10" s="16" customFormat="1" x14ac:dyDescent="0.3">
      <c r="E338" s="25"/>
      <c r="H338" s="26"/>
      <c r="I338" s="26"/>
      <c r="J338" s="26"/>
    </row>
    <row r="339" spans="5:10" s="16" customFormat="1" x14ac:dyDescent="0.3">
      <c r="E339" s="25"/>
      <c r="H339" s="26"/>
      <c r="I339" s="26"/>
      <c r="J339" s="26"/>
    </row>
    <row r="340" spans="5:10" s="16" customFormat="1" x14ac:dyDescent="0.3">
      <c r="E340" s="25"/>
      <c r="H340" s="26"/>
      <c r="I340" s="26"/>
      <c r="J340" s="26"/>
    </row>
    <row r="341" spans="5:10" s="16" customFormat="1" x14ac:dyDescent="0.3">
      <c r="E341" s="25"/>
      <c r="H341" s="26"/>
      <c r="I341" s="26"/>
      <c r="J341" s="26"/>
    </row>
    <row r="342" spans="5:10" s="16" customFormat="1" x14ac:dyDescent="0.3">
      <c r="E342" s="25"/>
      <c r="H342" s="26"/>
      <c r="I342" s="26"/>
      <c r="J342" s="26"/>
    </row>
    <row r="343" spans="5:10" s="16" customFormat="1" x14ac:dyDescent="0.3">
      <c r="E343" s="25"/>
      <c r="H343" s="26"/>
      <c r="I343" s="26"/>
      <c r="J343" s="26"/>
    </row>
    <row r="344" spans="5:10" s="16" customFormat="1" x14ac:dyDescent="0.3">
      <c r="E344" s="25"/>
      <c r="H344" s="26"/>
      <c r="I344" s="26"/>
      <c r="J344" s="26"/>
    </row>
    <row r="345" spans="5:10" s="16" customFormat="1" x14ac:dyDescent="0.3">
      <c r="E345" s="25"/>
      <c r="H345" s="26"/>
      <c r="I345" s="26"/>
      <c r="J345" s="26"/>
    </row>
    <row r="346" spans="5:10" s="16" customFormat="1" x14ac:dyDescent="0.3">
      <c r="E346" s="25"/>
      <c r="H346" s="26"/>
      <c r="I346" s="26"/>
      <c r="J346" s="26"/>
    </row>
    <row r="347" spans="5:10" s="16" customFormat="1" x14ac:dyDescent="0.3">
      <c r="E347" s="25"/>
      <c r="H347" s="26"/>
      <c r="I347" s="26"/>
      <c r="J347" s="26"/>
    </row>
    <row r="348" spans="5:10" s="16" customFormat="1" x14ac:dyDescent="0.3">
      <c r="E348" s="25"/>
      <c r="H348" s="26"/>
      <c r="I348" s="26"/>
      <c r="J348" s="26"/>
    </row>
    <row r="349" spans="5:10" s="16" customFormat="1" x14ac:dyDescent="0.3">
      <c r="E349" s="25"/>
      <c r="H349" s="26"/>
      <c r="I349" s="26"/>
      <c r="J349" s="26"/>
    </row>
    <row r="350" spans="5:10" s="16" customFormat="1" x14ac:dyDescent="0.3">
      <c r="E350" s="25"/>
      <c r="H350" s="26"/>
      <c r="I350" s="26"/>
      <c r="J350" s="26"/>
    </row>
    <row r="351" spans="5:10" s="16" customFormat="1" x14ac:dyDescent="0.3">
      <c r="E351" s="25"/>
      <c r="H351" s="26"/>
      <c r="I351" s="26"/>
      <c r="J351" s="26"/>
    </row>
    <row r="352" spans="5:10" s="16" customFormat="1" x14ac:dyDescent="0.3">
      <c r="E352" s="25"/>
      <c r="H352" s="26"/>
      <c r="I352" s="26"/>
      <c r="J352" s="26"/>
    </row>
    <row r="353" spans="5:10" s="16" customFormat="1" x14ac:dyDescent="0.3">
      <c r="E353" s="25"/>
      <c r="H353" s="26"/>
      <c r="I353" s="26"/>
      <c r="J353" s="26"/>
    </row>
    <row r="354" spans="5:10" s="16" customFormat="1" x14ac:dyDescent="0.3">
      <c r="E354" s="25"/>
      <c r="H354" s="26"/>
      <c r="I354" s="26"/>
      <c r="J354" s="26"/>
    </row>
    <row r="355" spans="5:10" s="16" customFormat="1" x14ac:dyDescent="0.3">
      <c r="E355" s="25"/>
      <c r="H355" s="26"/>
      <c r="I355" s="26"/>
      <c r="J355" s="26"/>
    </row>
    <row r="356" spans="5:10" s="16" customFormat="1" x14ac:dyDescent="0.3">
      <c r="E356" s="25"/>
      <c r="H356" s="26"/>
      <c r="I356" s="26"/>
      <c r="J356" s="26"/>
    </row>
    <row r="357" spans="5:10" s="16" customFormat="1" x14ac:dyDescent="0.3">
      <c r="E357" s="25"/>
      <c r="H357" s="26"/>
      <c r="I357" s="26"/>
      <c r="J357" s="26"/>
    </row>
    <row r="358" spans="5:10" s="16" customFormat="1" x14ac:dyDescent="0.3">
      <c r="E358" s="25"/>
      <c r="H358" s="26"/>
      <c r="I358" s="26"/>
      <c r="J358" s="26"/>
    </row>
    <row r="359" spans="5:10" s="16" customFormat="1" x14ac:dyDescent="0.3">
      <c r="E359" s="25"/>
      <c r="H359" s="26"/>
      <c r="I359" s="26"/>
      <c r="J359" s="26"/>
    </row>
    <row r="360" spans="5:10" s="16" customFormat="1" x14ac:dyDescent="0.3">
      <c r="E360" s="25"/>
      <c r="H360" s="26"/>
      <c r="I360" s="26"/>
      <c r="J360" s="26"/>
    </row>
    <row r="361" spans="5:10" s="16" customFormat="1" x14ac:dyDescent="0.3">
      <c r="E361" s="25"/>
      <c r="H361" s="26"/>
      <c r="I361" s="26"/>
      <c r="J361" s="26"/>
    </row>
    <row r="362" spans="5:10" s="16" customFormat="1" x14ac:dyDescent="0.3">
      <c r="E362" s="25"/>
      <c r="H362" s="26"/>
      <c r="I362" s="26"/>
      <c r="J362" s="26"/>
    </row>
    <row r="363" spans="5:10" s="16" customFormat="1" x14ac:dyDescent="0.3">
      <c r="E363" s="25"/>
      <c r="H363" s="26"/>
      <c r="I363" s="26"/>
      <c r="J363" s="26"/>
    </row>
    <row r="364" spans="5:10" s="16" customFormat="1" x14ac:dyDescent="0.3">
      <c r="E364" s="25"/>
      <c r="H364" s="26"/>
      <c r="I364" s="26"/>
      <c r="J364" s="26"/>
    </row>
    <row r="365" spans="5:10" s="16" customFormat="1" x14ac:dyDescent="0.3">
      <c r="E365" s="25"/>
      <c r="H365" s="26"/>
      <c r="I365" s="26"/>
      <c r="J365" s="26"/>
    </row>
    <row r="366" spans="5:10" s="16" customFormat="1" x14ac:dyDescent="0.3">
      <c r="E366" s="25"/>
      <c r="H366" s="26"/>
      <c r="I366" s="26"/>
      <c r="J366" s="26"/>
    </row>
    <row r="367" spans="5:10" s="16" customFormat="1" x14ac:dyDescent="0.3">
      <c r="E367" s="25"/>
      <c r="H367" s="26"/>
      <c r="I367" s="26"/>
      <c r="J367" s="26"/>
    </row>
    <row r="368" spans="5:10" s="16" customFormat="1" x14ac:dyDescent="0.3">
      <c r="E368" s="25"/>
      <c r="H368" s="26"/>
      <c r="I368" s="26"/>
      <c r="J368" s="26"/>
    </row>
    <row r="369" spans="5:10" s="16" customFormat="1" x14ac:dyDescent="0.3">
      <c r="E369" s="25"/>
      <c r="H369" s="26"/>
      <c r="I369" s="26"/>
      <c r="J369" s="26"/>
    </row>
    <row r="370" spans="5:10" s="16" customFormat="1" x14ac:dyDescent="0.3">
      <c r="E370" s="25"/>
      <c r="H370" s="26"/>
      <c r="I370" s="26"/>
      <c r="J370" s="26"/>
    </row>
    <row r="371" spans="5:10" s="16" customFormat="1" x14ac:dyDescent="0.3">
      <c r="E371" s="25"/>
      <c r="H371" s="26"/>
      <c r="I371" s="26"/>
      <c r="J371" s="26"/>
    </row>
    <row r="372" spans="5:10" s="16" customFormat="1" x14ac:dyDescent="0.3">
      <c r="E372" s="25"/>
      <c r="H372" s="26"/>
      <c r="I372" s="26"/>
      <c r="J372" s="26"/>
    </row>
    <row r="373" spans="5:10" s="16" customFormat="1" x14ac:dyDescent="0.3">
      <c r="E373" s="25"/>
      <c r="H373" s="26"/>
      <c r="I373" s="26"/>
      <c r="J373" s="26"/>
    </row>
    <row r="374" spans="5:10" s="16" customFormat="1" x14ac:dyDescent="0.3">
      <c r="E374" s="25"/>
      <c r="H374" s="26"/>
      <c r="I374" s="26"/>
      <c r="J374" s="26"/>
    </row>
    <row r="375" spans="5:10" s="16" customFormat="1" x14ac:dyDescent="0.3">
      <c r="E375" s="25"/>
      <c r="H375" s="26"/>
      <c r="I375" s="26"/>
      <c r="J375" s="26"/>
    </row>
    <row r="376" spans="5:10" s="16" customFormat="1" x14ac:dyDescent="0.3">
      <c r="E376" s="25"/>
      <c r="H376" s="26"/>
      <c r="I376" s="26"/>
      <c r="J376" s="26"/>
    </row>
    <row r="377" spans="5:10" s="16" customFormat="1" x14ac:dyDescent="0.3">
      <c r="E377" s="25"/>
      <c r="H377" s="26"/>
      <c r="I377" s="26"/>
      <c r="J377" s="26"/>
    </row>
    <row r="378" spans="5:10" s="16" customFormat="1" x14ac:dyDescent="0.3">
      <c r="E378" s="25"/>
      <c r="H378" s="26"/>
      <c r="I378" s="26"/>
      <c r="J378" s="26"/>
    </row>
    <row r="379" spans="5:10" s="16" customFormat="1" x14ac:dyDescent="0.3">
      <c r="E379" s="25"/>
      <c r="H379" s="26"/>
      <c r="I379" s="26"/>
      <c r="J379" s="26"/>
    </row>
    <row r="380" spans="5:10" s="16" customFormat="1" x14ac:dyDescent="0.3">
      <c r="E380" s="25"/>
      <c r="H380" s="26"/>
      <c r="I380" s="26"/>
      <c r="J380" s="26"/>
    </row>
    <row r="381" spans="5:10" s="16" customFormat="1" x14ac:dyDescent="0.3">
      <c r="E381" s="25"/>
      <c r="H381" s="26"/>
      <c r="I381" s="26"/>
      <c r="J381" s="26"/>
    </row>
    <row r="382" spans="5:10" s="16" customFormat="1" x14ac:dyDescent="0.3">
      <c r="E382" s="25"/>
      <c r="H382" s="26"/>
      <c r="I382" s="26"/>
      <c r="J382" s="26"/>
    </row>
    <row r="383" spans="5:10" s="16" customFormat="1" x14ac:dyDescent="0.3">
      <c r="E383" s="25"/>
      <c r="H383" s="26"/>
      <c r="I383" s="26"/>
      <c r="J383" s="26"/>
    </row>
    <row r="384" spans="5:10" s="16" customFormat="1" x14ac:dyDescent="0.3">
      <c r="E384" s="25"/>
      <c r="H384" s="26"/>
      <c r="I384" s="26"/>
      <c r="J384" s="26"/>
    </row>
    <row r="385" spans="5:10" s="16" customFormat="1" x14ac:dyDescent="0.3">
      <c r="E385" s="25"/>
      <c r="H385" s="26"/>
      <c r="I385" s="26"/>
      <c r="J385" s="26"/>
    </row>
    <row r="386" spans="5:10" s="16" customFormat="1" x14ac:dyDescent="0.3">
      <c r="E386" s="25"/>
      <c r="H386" s="26"/>
      <c r="I386" s="26"/>
      <c r="J386" s="26"/>
    </row>
    <row r="387" spans="5:10" s="16" customFormat="1" x14ac:dyDescent="0.3">
      <c r="E387" s="25"/>
      <c r="H387" s="26"/>
      <c r="I387" s="26"/>
      <c r="J387" s="26"/>
    </row>
    <row r="388" spans="5:10" s="16" customFormat="1" x14ac:dyDescent="0.3">
      <c r="E388" s="25"/>
      <c r="H388" s="26"/>
      <c r="I388" s="26"/>
      <c r="J388" s="26"/>
    </row>
    <row r="389" spans="5:10" s="16" customFormat="1" x14ac:dyDescent="0.3">
      <c r="E389" s="25"/>
      <c r="H389" s="26"/>
      <c r="I389" s="26"/>
      <c r="J389" s="26"/>
    </row>
    <row r="390" spans="5:10" s="16" customFormat="1" x14ac:dyDescent="0.3">
      <c r="E390" s="25"/>
      <c r="H390" s="26"/>
      <c r="I390" s="26"/>
      <c r="J390" s="26"/>
    </row>
    <row r="391" spans="5:10" s="16" customFormat="1" x14ac:dyDescent="0.3">
      <c r="E391" s="25"/>
      <c r="H391" s="26"/>
      <c r="I391" s="26"/>
      <c r="J391" s="26"/>
    </row>
    <row r="392" spans="5:10" s="16" customFormat="1" x14ac:dyDescent="0.3">
      <c r="E392" s="25"/>
      <c r="H392" s="26"/>
      <c r="I392" s="26"/>
      <c r="J392" s="26"/>
    </row>
    <row r="393" spans="5:10" s="16" customFormat="1" x14ac:dyDescent="0.3">
      <c r="E393" s="25"/>
      <c r="H393" s="26"/>
      <c r="I393" s="26"/>
      <c r="J393" s="26"/>
    </row>
    <row r="394" spans="5:10" s="16" customFormat="1" x14ac:dyDescent="0.3">
      <c r="E394" s="25"/>
      <c r="H394" s="26"/>
      <c r="I394" s="26"/>
      <c r="J394" s="26"/>
    </row>
    <row r="395" spans="5:10" s="16" customFormat="1" x14ac:dyDescent="0.3">
      <c r="E395" s="25"/>
      <c r="H395" s="26"/>
      <c r="I395" s="26"/>
      <c r="J395" s="26"/>
    </row>
    <row r="396" spans="5:10" s="16" customFormat="1" x14ac:dyDescent="0.3">
      <c r="E396" s="25"/>
      <c r="H396" s="26"/>
      <c r="I396" s="26"/>
      <c r="J396" s="26"/>
    </row>
    <row r="397" spans="5:10" s="16" customFormat="1" x14ac:dyDescent="0.3">
      <c r="E397" s="25"/>
      <c r="H397" s="26"/>
      <c r="I397" s="26"/>
      <c r="J397" s="26"/>
    </row>
    <row r="398" spans="5:10" s="16" customFormat="1" x14ac:dyDescent="0.3">
      <c r="E398" s="25"/>
      <c r="H398" s="26"/>
      <c r="I398" s="26"/>
      <c r="J398" s="26"/>
    </row>
    <row r="399" spans="5:10" s="16" customFormat="1" x14ac:dyDescent="0.3">
      <c r="E399" s="25"/>
      <c r="H399" s="26"/>
      <c r="I399" s="26"/>
      <c r="J399" s="26"/>
    </row>
    <row r="400" spans="5:10" s="16" customFormat="1" x14ac:dyDescent="0.3">
      <c r="E400" s="25"/>
      <c r="H400" s="26"/>
      <c r="I400" s="26"/>
      <c r="J400" s="26"/>
    </row>
    <row r="401" spans="5:10" s="16" customFormat="1" x14ac:dyDescent="0.3">
      <c r="E401" s="25"/>
      <c r="H401" s="26"/>
      <c r="I401" s="26"/>
      <c r="J401" s="26"/>
    </row>
    <row r="402" spans="5:10" s="16" customFormat="1" x14ac:dyDescent="0.3">
      <c r="E402" s="25"/>
      <c r="H402" s="26"/>
      <c r="I402" s="26"/>
      <c r="J402" s="26"/>
    </row>
    <row r="403" spans="5:10" s="16" customFormat="1" x14ac:dyDescent="0.3">
      <c r="E403" s="25"/>
      <c r="H403" s="26"/>
      <c r="I403" s="26"/>
      <c r="J403" s="26"/>
    </row>
    <row r="404" spans="5:10" s="16" customFormat="1" x14ac:dyDescent="0.3">
      <c r="E404" s="25"/>
      <c r="H404" s="26"/>
      <c r="I404" s="26"/>
      <c r="J404" s="26"/>
    </row>
    <row r="405" spans="5:10" s="16" customFormat="1" x14ac:dyDescent="0.3">
      <c r="E405" s="25"/>
      <c r="H405" s="26"/>
      <c r="I405" s="26"/>
      <c r="J405" s="26"/>
    </row>
    <row r="406" spans="5:10" s="16" customFormat="1" x14ac:dyDescent="0.3">
      <c r="E406" s="25"/>
      <c r="H406" s="26"/>
      <c r="I406" s="26"/>
      <c r="J406" s="26"/>
    </row>
    <row r="407" spans="5:10" s="16" customFormat="1" x14ac:dyDescent="0.3">
      <c r="E407" s="25"/>
      <c r="H407" s="26"/>
      <c r="I407" s="26"/>
      <c r="J407" s="26"/>
    </row>
    <row r="408" spans="5:10" s="16" customFormat="1" x14ac:dyDescent="0.3">
      <c r="E408" s="25"/>
      <c r="H408" s="26"/>
      <c r="I408" s="26"/>
      <c r="J408" s="26"/>
    </row>
    <row r="409" spans="5:10" s="16" customFormat="1" x14ac:dyDescent="0.3">
      <c r="E409" s="25"/>
      <c r="H409" s="26"/>
      <c r="I409" s="26"/>
      <c r="J409" s="26"/>
    </row>
    <row r="410" spans="5:10" s="16" customFormat="1" x14ac:dyDescent="0.3">
      <c r="E410" s="25"/>
      <c r="H410" s="26"/>
      <c r="I410" s="26"/>
      <c r="J410" s="26"/>
    </row>
    <row r="411" spans="5:10" s="16" customFormat="1" x14ac:dyDescent="0.3">
      <c r="E411" s="25"/>
      <c r="H411" s="26"/>
      <c r="I411" s="26"/>
      <c r="J411" s="26"/>
    </row>
    <row r="412" spans="5:10" s="16" customFormat="1" x14ac:dyDescent="0.3">
      <c r="E412" s="25"/>
      <c r="H412" s="26"/>
      <c r="I412" s="26"/>
      <c r="J412" s="26"/>
    </row>
    <row r="413" spans="5:10" s="16" customFormat="1" x14ac:dyDescent="0.3">
      <c r="E413" s="25"/>
      <c r="H413" s="26"/>
      <c r="I413" s="26"/>
      <c r="J413" s="26"/>
    </row>
    <row r="414" spans="5:10" s="16" customFormat="1" x14ac:dyDescent="0.3">
      <c r="E414" s="25"/>
      <c r="H414" s="26"/>
      <c r="I414" s="26"/>
      <c r="J414" s="26"/>
    </row>
    <row r="415" spans="5:10" s="16" customFormat="1" x14ac:dyDescent="0.3">
      <c r="E415" s="25"/>
      <c r="H415" s="26"/>
      <c r="I415" s="26"/>
      <c r="J415" s="26"/>
    </row>
    <row r="416" spans="5:10" s="16" customFormat="1" x14ac:dyDescent="0.3">
      <c r="E416" s="25"/>
      <c r="H416" s="26"/>
      <c r="I416" s="26"/>
      <c r="J416" s="26"/>
    </row>
    <row r="417" spans="5:10" s="16" customFormat="1" x14ac:dyDescent="0.3">
      <c r="E417" s="25"/>
      <c r="H417" s="26"/>
      <c r="I417" s="26"/>
      <c r="J417" s="26"/>
    </row>
    <row r="418" spans="5:10" s="16" customFormat="1" x14ac:dyDescent="0.3">
      <c r="E418" s="25"/>
      <c r="H418" s="26"/>
      <c r="I418" s="26"/>
      <c r="J418" s="26"/>
    </row>
    <row r="419" spans="5:10" s="16" customFormat="1" x14ac:dyDescent="0.3">
      <c r="E419" s="25"/>
      <c r="H419" s="26"/>
      <c r="I419" s="26"/>
      <c r="J419" s="26"/>
    </row>
    <row r="420" spans="5:10" s="16" customFormat="1" x14ac:dyDescent="0.3">
      <c r="E420" s="25"/>
      <c r="H420" s="26"/>
      <c r="I420" s="26"/>
      <c r="J420" s="26"/>
    </row>
    <row r="421" spans="5:10" s="16" customFormat="1" x14ac:dyDescent="0.3">
      <c r="E421" s="25"/>
      <c r="H421" s="26"/>
      <c r="I421" s="26"/>
      <c r="J421" s="26"/>
    </row>
    <row r="422" spans="5:10" s="16" customFormat="1" x14ac:dyDescent="0.3">
      <c r="E422" s="25"/>
      <c r="H422" s="26"/>
      <c r="I422" s="26"/>
      <c r="J422" s="26"/>
    </row>
    <row r="423" spans="5:10" s="16" customFormat="1" x14ac:dyDescent="0.3">
      <c r="E423" s="25"/>
      <c r="H423" s="26"/>
      <c r="I423" s="26"/>
      <c r="J423" s="26"/>
    </row>
    <row r="424" spans="5:10" s="16" customFormat="1" x14ac:dyDescent="0.3">
      <c r="E424" s="25"/>
      <c r="H424" s="26"/>
      <c r="I424" s="26"/>
      <c r="J424" s="26"/>
    </row>
    <row r="425" spans="5:10" s="16" customFormat="1" x14ac:dyDescent="0.3">
      <c r="E425" s="25"/>
      <c r="H425" s="26"/>
      <c r="I425" s="26"/>
      <c r="J425" s="26"/>
    </row>
    <row r="426" spans="5:10" s="16" customFormat="1" x14ac:dyDescent="0.3">
      <c r="E426" s="25"/>
      <c r="H426" s="26"/>
      <c r="I426" s="26"/>
      <c r="J426" s="26"/>
    </row>
    <row r="427" spans="5:10" s="16" customFormat="1" x14ac:dyDescent="0.3">
      <c r="E427" s="25"/>
      <c r="H427" s="26"/>
      <c r="I427" s="26"/>
      <c r="J427" s="26"/>
    </row>
    <row r="428" spans="5:10" s="16" customFormat="1" x14ac:dyDescent="0.3">
      <c r="E428" s="25"/>
      <c r="H428" s="26"/>
      <c r="I428" s="26"/>
      <c r="J428" s="26"/>
    </row>
    <row r="429" spans="5:10" s="16" customFormat="1" x14ac:dyDescent="0.3">
      <c r="E429" s="25"/>
      <c r="H429" s="26"/>
      <c r="I429" s="26"/>
      <c r="J429" s="26"/>
    </row>
    <row r="430" spans="5:10" s="16" customFormat="1" x14ac:dyDescent="0.3">
      <c r="E430" s="25"/>
      <c r="H430" s="26"/>
      <c r="I430" s="26"/>
      <c r="J430" s="26"/>
    </row>
    <row r="431" spans="5:10" s="16" customFormat="1" x14ac:dyDescent="0.3">
      <c r="E431" s="25"/>
      <c r="H431" s="26"/>
      <c r="I431" s="26"/>
      <c r="J431" s="26"/>
    </row>
    <row r="432" spans="5:10" s="16" customFormat="1" x14ac:dyDescent="0.3">
      <c r="E432" s="25"/>
      <c r="H432" s="26"/>
      <c r="I432" s="26"/>
      <c r="J432" s="26"/>
    </row>
    <row r="433" spans="5:10" s="16" customFormat="1" x14ac:dyDescent="0.3">
      <c r="E433" s="25"/>
      <c r="H433" s="26"/>
      <c r="I433" s="26"/>
      <c r="J433" s="26"/>
    </row>
    <row r="434" spans="5:10" s="16" customFormat="1" x14ac:dyDescent="0.3">
      <c r="E434" s="25"/>
      <c r="H434" s="26"/>
      <c r="I434" s="26"/>
      <c r="J434" s="26"/>
    </row>
    <row r="435" spans="5:10" s="16" customFormat="1" x14ac:dyDescent="0.3">
      <c r="E435" s="25"/>
      <c r="H435" s="26"/>
      <c r="I435" s="26"/>
      <c r="J435" s="26"/>
    </row>
    <row r="436" spans="5:10" s="16" customFormat="1" x14ac:dyDescent="0.3">
      <c r="E436" s="25"/>
      <c r="H436" s="26"/>
      <c r="I436" s="26"/>
      <c r="J436" s="26"/>
    </row>
    <row r="437" spans="5:10" s="16" customFormat="1" x14ac:dyDescent="0.3">
      <c r="E437" s="25"/>
      <c r="H437" s="26"/>
      <c r="I437" s="26"/>
      <c r="J437" s="26"/>
    </row>
    <row r="438" spans="5:10" s="16" customFormat="1" x14ac:dyDescent="0.3">
      <c r="E438" s="25"/>
      <c r="H438" s="26"/>
      <c r="I438" s="26"/>
      <c r="J438" s="26"/>
    </row>
    <row r="439" spans="5:10" s="16" customFormat="1" x14ac:dyDescent="0.3">
      <c r="E439" s="25"/>
      <c r="H439" s="26"/>
      <c r="I439" s="26"/>
      <c r="J439" s="26"/>
    </row>
    <row r="440" spans="5:10" s="16" customFormat="1" x14ac:dyDescent="0.3">
      <c r="E440" s="25"/>
      <c r="H440" s="26"/>
      <c r="I440" s="26"/>
      <c r="J440" s="26"/>
    </row>
    <row r="441" spans="5:10" s="16" customFormat="1" x14ac:dyDescent="0.3">
      <c r="E441" s="25"/>
      <c r="H441" s="26"/>
      <c r="I441" s="26"/>
      <c r="J441" s="26"/>
    </row>
    <row r="442" spans="5:10" s="16" customFormat="1" x14ac:dyDescent="0.3">
      <c r="E442" s="25"/>
      <c r="H442" s="26"/>
      <c r="I442" s="26"/>
      <c r="J442" s="26"/>
    </row>
    <row r="443" spans="5:10" s="16" customFormat="1" x14ac:dyDescent="0.3">
      <c r="E443" s="25"/>
      <c r="H443" s="26"/>
      <c r="I443" s="26"/>
      <c r="J443" s="26"/>
    </row>
    <row r="444" spans="5:10" s="16" customFormat="1" x14ac:dyDescent="0.3">
      <c r="E444" s="25"/>
      <c r="H444" s="26"/>
      <c r="I444" s="26"/>
      <c r="J444" s="26"/>
    </row>
    <row r="445" spans="5:10" s="16" customFormat="1" x14ac:dyDescent="0.3">
      <c r="E445" s="25"/>
      <c r="H445" s="26"/>
      <c r="I445" s="26"/>
      <c r="J445" s="26"/>
    </row>
    <row r="446" spans="5:10" s="16" customFormat="1" x14ac:dyDescent="0.3">
      <c r="E446" s="25"/>
      <c r="H446" s="26"/>
      <c r="I446" s="26"/>
      <c r="J446" s="26"/>
    </row>
    <row r="447" spans="5:10" s="16" customFormat="1" x14ac:dyDescent="0.3">
      <c r="E447" s="25"/>
      <c r="H447" s="26"/>
      <c r="I447" s="26"/>
      <c r="J447" s="26"/>
    </row>
    <row r="448" spans="5:10" s="16" customFormat="1" x14ac:dyDescent="0.3">
      <c r="E448" s="25"/>
      <c r="H448" s="26"/>
      <c r="I448" s="26"/>
      <c r="J448" s="26"/>
    </row>
    <row r="449" spans="5:10" s="16" customFormat="1" x14ac:dyDescent="0.3">
      <c r="E449" s="25"/>
      <c r="H449" s="26"/>
      <c r="I449" s="26"/>
      <c r="J449" s="26"/>
    </row>
    <row r="450" spans="5:10" s="16" customFormat="1" x14ac:dyDescent="0.3">
      <c r="E450" s="25"/>
      <c r="H450" s="26"/>
      <c r="I450" s="26"/>
      <c r="J450" s="26"/>
    </row>
    <row r="451" spans="5:10" s="16" customFormat="1" x14ac:dyDescent="0.3">
      <c r="E451" s="25"/>
      <c r="H451" s="26"/>
      <c r="I451" s="26"/>
      <c r="J451" s="26"/>
    </row>
    <row r="452" spans="5:10" s="16" customFormat="1" x14ac:dyDescent="0.3">
      <c r="E452" s="25"/>
      <c r="H452" s="26"/>
      <c r="I452" s="26"/>
      <c r="J452" s="26"/>
    </row>
    <row r="453" spans="5:10" s="16" customFormat="1" x14ac:dyDescent="0.3">
      <c r="E453" s="25"/>
      <c r="H453" s="26"/>
      <c r="I453" s="26"/>
      <c r="J453" s="26"/>
    </row>
    <row r="454" spans="5:10" s="16" customFormat="1" x14ac:dyDescent="0.3">
      <c r="E454" s="25"/>
      <c r="H454" s="26"/>
      <c r="I454" s="26"/>
      <c r="J454" s="26"/>
    </row>
    <row r="455" spans="5:10" s="16" customFormat="1" x14ac:dyDescent="0.3">
      <c r="E455" s="25"/>
      <c r="H455" s="26"/>
      <c r="I455" s="26"/>
      <c r="J455" s="26"/>
    </row>
    <row r="456" spans="5:10" s="16" customFormat="1" x14ac:dyDescent="0.3">
      <c r="E456" s="25"/>
      <c r="H456" s="26"/>
      <c r="I456" s="26"/>
      <c r="J456" s="26"/>
    </row>
    <row r="457" spans="5:10" s="16" customFormat="1" x14ac:dyDescent="0.3">
      <c r="E457" s="25"/>
      <c r="H457" s="26"/>
      <c r="I457" s="26"/>
      <c r="J457" s="26"/>
    </row>
    <row r="458" spans="5:10" s="16" customFormat="1" x14ac:dyDescent="0.3">
      <c r="E458" s="25"/>
      <c r="H458" s="26"/>
      <c r="I458" s="26"/>
      <c r="J458" s="26"/>
    </row>
    <row r="459" spans="5:10" s="16" customFormat="1" x14ac:dyDescent="0.3">
      <c r="E459" s="25"/>
      <c r="H459" s="26"/>
      <c r="I459" s="26"/>
      <c r="J459" s="26"/>
    </row>
    <row r="460" spans="5:10" s="16" customFormat="1" x14ac:dyDescent="0.3">
      <c r="E460" s="25"/>
      <c r="H460" s="26"/>
      <c r="I460" s="26"/>
      <c r="J460" s="26"/>
    </row>
    <row r="461" spans="5:10" s="16" customFormat="1" x14ac:dyDescent="0.3">
      <c r="E461" s="25"/>
      <c r="H461" s="26"/>
      <c r="I461" s="26"/>
      <c r="J461" s="26"/>
    </row>
    <row r="462" spans="5:10" s="16" customFormat="1" x14ac:dyDescent="0.3">
      <c r="E462" s="25"/>
      <c r="H462" s="26"/>
      <c r="I462" s="26"/>
      <c r="J462" s="26"/>
    </row>
    <row r="463" spans="5:10" s="16" customFormat="1" x14ac:dyDescent="0.3">
      <c r="E463" s="25"/>
      <c r="H463" s="26"/>
      <c r="I463" s="26"/>
      <c r="J463" s="26"/>
    </row>
    <row r="464" spans="5:10" s="16" customFormat="1" x14ac:dyDescent="0.3">
      <c r="E464" s="25"/>
      <c r="H464" s="26"/>
      <c r="I464" s="26"/>
      <c r="J464" s="26"/>
    </row>
    <row r="465" spans="5:10" s="16" customFormat="1" x14ac:dyDescent="0.3">
      <c r="E465" s="25"/>
      <c r="H465" s="26"/>
      <c r="I465" s="26"/>
      <c r="J465" s="26"/>
    </row>
    <row r="466" spans="5:10" s="16" customFormat="1" x14ac:dyDescent="0.3">
      <c r="E466" s="25"/>
      <c r="H466" s="26"/>
      <c r="I466" s="26"/>
      <c r="J466" s="26"/>
    </row>
    <row r="467" spans="5:10" s="16" customFormat="1" x14ac:dyDescent="0.3">
      <c r="E467" s="25"/>
      <c r="H467" s="26"/>
      <c r="I467" s="26"/>
      <c r="J467" s="26"/>
    </row>
    <row r="468" spans="5:10" s="16" customFormat="1" x14ac:dyDescent="0.3">
      <c r="E468" s="25"/>
      <c r="H468" s="26"/>
      <c r="I468" s="26"/>
      <c r="J468" s="26"/>
    </row>
    <row r="469" spans="5:10" s="16" customFormat="1" x14ac:dyDescent="0.3">
      <c r="E469" s="25"/>
      <c r="H469" s="26"/>
      <c r="I469" s="26"/>
      <c r="J469" s="26"/>
    </row>
    <row r="470" spans="5:10" s="16" customFormat="1" x14ac:dyDescent="0.3">
      <c r="E470" s="25"/>
      <c r="H470" s="26"/>
      <c r="I470" s="26"/>
      <c r="J470" s="26"/>
    </row>
    <row r="471" spans="5:10" s="16" customFormat="1" x14ac:dyDescent="0.3">
      <c r="E471" s="25"/>
      <c r="H471" s="26"/>
      <c r="I471" s="26"/>
      <c r="J471" s="26"/>
    </row>
    <row r="472" spans="5:10" s="16" customFormat="1" x14ac:dyDescent="0.3">
      <c r="E472" s="25"/>
      <c r="H472" s="26"/>
      <c r="I472" s="26"/>
      <c r="J472" s="26"/>
    </row>
    <row r="473" spans="5:10" s="16" customFormat="1" x14ac:dyDescent="0.3">
      <c r="E473" s="25"/>
      <c r="H473" s="26"/>
      <c r="I473" s="26"/>
      <c r="J473" s="26"/>
    </row>
    <row r="474" spans="5:10" s="16" customFormat="1" x14ac:dyDescent="0.3">
      <c r="E474" s="25"/>
      <c r="H474" s="26"/>
      <c r="I474" s="26"/>
      <c r="J474" s="26"/>
    </row>
    <row r="475" spans="5:10" s="16" customFormat="1" x14ac:dyDescent="0.3">
      <c r="E475" s="25"/>
      <c r="H475" s="26"/>
      <c r="I475" s="26"/>
      <c r="J475" s="26"/>
    </row>
    <row r="476" spans="5:10" s="16" customFormat="1" x14ac:dyDescent="0.3">
      <c r="E476" s="25"/>
      <c r="H476" s="26"/>
      <c r="I476" s="26"/>
      <c r="J476" s="26"/>
    </row>
    <row r="477" spans="5:10" s="16" customFormat="1" x14ac:dyDescent="0.3">
      <c r="E477" s="25"/>
      <c r="H477" s="26"/>
      <c r="I477" s="26"/>
      <c r="J477" s="26"/>
    </row>
    <row r="478" spans="5:10" s="16" customFormat="1" x14ac:dyDescent="0.3">
      <c r="E478" s="25"/>
      <c r="H478" s="26"/>
      <c r="I478" s="26"/>
      <c r="J478" s="26"/>
    </row>
    <row r="479" spans="5:10" s="16" customFormat="1" x14ac:dyDescent="0.3">
      <c r="E479" s="25"/>
      <c r="H479" s="26"/>
      <c r="I479" s="26"/>
      <c r="J479" s="26"/>
    </row>
    <row r="480" spans="5:10" s="16" customFormat="1" x14ac:dyDescent="0.3">
      <c r="E480" s="25"/>
      <c r="H480" s="26"/>
      <c r="I480" s="26"/>
      <c r="J480" s="26"/>
    </row>
    <row r="481" spans="5:10" s="16" customFormat="1" x14ac:dyDescent="0.3">
      <c r="E481" s="25"/>
      <c r="H481" s="26"/>
      <c r="I481" s="26"/>
      <c r="J481" s="26"/>
    </row>
    <row r="482" spans="5:10" s="16" customFormat="1" x14ac:dyDescent="0.3">
      <c r="E482" s="25"/>
      <c r="H482" s="26"/>
      <c r="I482" s="26"/>
      <c r="J482" s="26"/>
    </row>
    <row r="483" spans="5:10" s="16" customFormat="1" x14ac:dyDescent="0.3">
      <c r="E483" s="25"/>
      <c r="H483" s="26"/>
      <c r="I483" s="26"/>
      <c r="J483" s="26"/>
    </row>
    <row r="484" spans="5:10" s="16" customFormat="1" x14ac:dyDescent="0.3">
      <c r="E484" s="25"/>
      <c r="H484" s="26"/>
      <c r="I484" s="26"/>
      <c r="J484" s="26"/>
    </row>
    <row r="485" spans="5:10" s="16" customFormat="1" x14ac:dyDescent="0.3">
      <c r="E485" s="25"/>
      <c r="H485" s="26"/>
      <c r="I485" s="26"/>
      <c r="J485" s="26"/>
    </row>
    <row r="486" spans="5:10" s="16" customFormat="1" x14ac:dyDescent="0.3">
      <c r="E486" s="25"/>
      <c r="H486" s="26"/>
      <c r="I486" s="26"/>
      <c r="J486" s="26"/>
    </row>
    <row r="487" spans="5:10" s="16" customFormat="1" x14ac:dyDescent="0.3">
      <c r="E487" s="25"/>
      <c r="H487" s="26"/>
      <c r="I487" s="26"/>
      <c r="J487" s="26"/>
    </row>
    <row r="488" spans="5:10" s="16" customFormat="1" x14ac:dyDescent="0.3">
      <c r="E488" s="25"/>
      <c r="H488" s="26"/>
      <c r="I488" s="26"/>
      <c r="J488" s="26"/>
    </row>
    <row r="489" spans="5:10" s="16" customFormat="1" x14ac:dyDescent="0.3">
      <c r="E489" s="25"/>
      <c r="H489" s="26"/>
      <c r="I489" s="26"/>
      <c r="J489" s="26"/>
    </row>
    <row r="490" spans="5:10" s="16" customFormat="1" x14ac:dyDescent="0.3">
      <c r="E490" s="25"/>
      <c r="H490" s="26"/>
      <c r="I490" s="26"/>
      <c r="J490" s="26"/>
    </row>
    <row r="491" spans="5:10" s="16" customFormat="1" x14ac:dyDescent="0.3">
      <c r="E491" s="25"/>
      <c r="H491" s="26"/>
      <c r="I491" s="26"/>
      <c r="J491" s="26"/>
    </row>
    <row r="492" spans="5:10" s="16" customFormat="1" x14ac:dyDescent="0.3">
      <c r="E492" s="25"/>
      <c r="H492" s="26"/>
      <c r="I492" s="26"/>
      <c r="J492" s="26"/>
    </row>
    <row r="493" spans="5:10" s="16" customFormat="1" x14ac:dyDescent="0.3">
      <c r="E493" s="25"/>
      <c r="H493" s="26"/>
      <c r="I493" s="26"/>
      <c r="J493" s="26"/>
    </row>
    <row r="494" spans="5:10" s="16" customFormat="1" x14ac:dyDescent="0.3">
      <c r="E494" s="25"/>
      <c r="H494" s="26"/>
      <c r="I494" s="26"/>
      <c r="J494" s="26"/>
    </row>
    <row r="495" spans="5:10" s="16" customFormat="1" x14ac:dyDescent="0.3">
      <c r="E495" s="25"/>
      <c r="H495" s="26"/>
      <c r="I495" s="26"/>
      <c r="J495" s="26"/>
    </row>
    <row r="496" spans="5:10" s="16" customFormat="1" x14ac:dyDescent="0.3">
      <c r="E496" s="25"/>
      <c r="H496" s="26"/>
      <c r="I496" s="26"/>
      <c r="J496" s="26"/>
    </row>
    <row r="497" spans="5:10" s="16" customFormat="1" x14ac:dyDescent="0.3">
      <c r="E497" s="25"/>
      <c r="H497" s="26"/>
      <c r="I497" s="26"/>
      <c r="J497" s="26"/>
    </row>
    <row r="498" spans="5:10" s="16" customFormat="1" x14ac:dyDescent="0.3">
      <c r="E498" s="25"/>
      <c r="H498" s="26"/>
      <c r="I498" s="26"/>
      <c r="J498" s="26"/>
    </row>
    <row r="499" spans="5:10" s="16" customFormat="1" x14ac:dyDescent="0.3">
      <c r="E499" s="25"/>
      <c r="H499" s="26"/>
      <c r="I499" s="26"/>
      <c r="J499" s="26"/>
    </row>
    <row r="500" spans="5:10" s="16" customFormat="1" x14ac:dyDescent="0.3">
      <c r="E500" s="25"/>
      <c r="H500" s="26"/>
      <c r="I500" s="26"/>
      <c r="J500" s="26"/>
    </row>
    <row r="501" spans="5:10" s="16" customFormat="1" x14ac:dyDescent="0.3">
      <c r="E501" s="25"/>
      <c r="H501" s="26"/>
      <c r="I501" s="26"/>
      <c r="J501" s="26"/>
    </row>
    <row r="502" spans="5:10" s="16" customFormat="1" x14ac:dyDescent="0.3">
      <c r="E502" s="25"/>
      <c r="H502" s="26"/>
      <c r="I502" s="26"/>
      <c r="J502" s="26"/>
    </row>
    <row r="503" spans="5:10" s="16" customFormat="1" x14ac:dyDescent="0.3">
      <c r="E503" s="25"/>
      <c r="H503" s="26"/>
      <c r="I503" s="26"/>
      <c r="J503" s="26"/>
    </row>
    <row r="504" spans="5:10" s="16" customFormat="1" x14ac:dyDescent="0.3">
      <c r="E504" s="25"/>
      <c r="H504" s="26"/>
      <c r="I504" s="26"/>
      <c r="J504" s="26"/>
    </row>
    <row r="505" spans="5:10" s="16" customFormat="1" x14ac:dyDescent="0.3">
      <c r="E505" s="25"/>
      <c r="H505" s="26"/>
      <c r="I505" s="26"/>
      <c r="J505" s="26"/>
    </row>
    <row r="506" spans="5:10" s="16" customFormat="1" x14ac:dyDescent="0.3">
      <c r="E506" s="25"/>
      <c r="H506" s="26"/>
      <c r="I506" s="26"/>
      <c r="J506" s="26"/>
    </row>
    <row r="507" spans="5:10" s="16" customFormat="1" x14ac:dyDescent="0.3">
      <c r="E507" s="25"/>
      <c r="H507" s="26"/>
      <c r="I507" s="26"/>
      <c r="J507" s="26"/>
    </row>
    <row r="508" spans="5:10" s="16" customFormat="1" x14ac:dyDescent="0.3">
      <c r="E508" s="25"/>
      <c r="H508" s="26"/>
      <c r="I508" s="26"/>
      <c r="J508" s="26"/>
    </row>
    <row r="509" spans="5:10" s="16" customFormat="1" x14ac:dyDescent="0.3">
      <c r="E509" s="25"/>
      <c r="H509" s="26"/>
      <c r="I509" s="26"/>
      <c r="J509" s="26"/>
    </row>
    <row r="510" spans="5:10" s="16" customFormat="1" x14ac:dyDescent="0.3">
      <c r="E510" s="25"/>
      <c r="H510" s="26"/>
      <c r="I510" s="26"/>
      <c r="J510" s="26"/>
    </row>
    <row r="511" spans="5:10" s="16" customFormat="1" x14ac:dyDescent="0.3">
      <c r="E511" s="25"/>
      <c r="H511" s="26"/>
      <c r="I511" s="26"/>
      <c r="J511" s="26"/>
    </row>
    <row r="512" spans="5:10" s="16" customFormat="1" x14ac:dyDescent="0.3">
      <c r="E512" s="25"/>
      <c r="H512" s="26"/>
      <c r="I512" s="26"/>
      <c r="J512" s="26"/>
    </row>
    <row r="513" spans="5:10" s="16" customFormat="1" x14ac:dyDescent="0.3">
      <c r="E513" s="25"/>
      <c r="H513" s="26"/>
      <c r="I513" s="26"/>
      <c r="J513" s="26"/>
    </row>
    <row r="514" spans="5:10" s="16" customFormat="1" x14ac:dyDescent="0.3">
      <c r="E514" s="25"/>
      <c r="H514" s="26"/>
      <c r="I514" s="26"/>
      <c r="J514" s="26"/>
    </row>
    <row r="515" spans="5:10" s="16" customFormat="1" x14ac:dyDescent="0.3">
      <c r="E515" s="25"/>
      <c r="H515" s="26"/>
      <c r="I515" s="26"/>
      <c r="J515" s="26"/>
    </row>
    <row r="516" spans="5:10" s="16" customFormat="1" x14ac:dyDescent="0.3">
      <c r="E516" s="25"/>
      <c r="H516" s="26"/>
      <c r="I516" s="26"/>
      <c r="J516" s="26"/>
    </row>
    <row r="517" spans="5:10" s="16" customFormat="1" x14ac:dyDescent="0.3">
      <c r="E517" s="25"/>
      <c r="H517" s="26"/>
      <c r="I517" s="26"/>
      <c r="J517" s="26"/>
    </row>
    <row r="518" spans="5:10" s="16" customFormat="1" x14ac:dyDescent="0.3">
      <c r="E518" s="25"/>
      <c r="H518" s="26"/>
      <c r="I518" s="26"/>
      <c r="J518" s="26"/>
    </row>
    <row r="519" spans="5:10" s="16" customFormat="1" x14ac:dyDescent="0.3">
      <c r="E519" s="25"/>
      <c r="H519" s="26"/>
      <c r="I519" s="26"/>
      <c r="J519" s="26"/>
    </row>
    <row r="520" spans="5:10" s="16" customFormat="1" x14ac:dyDescent="0.3">
      <c r="E520" s="25"/>
      <c r="H520" s="26"/>
      <c r="I520" s="26"/>
      <c r="J520" s="26"/>
    </row>
    <row r="521" spans="5:10" s="16" customFormat="1" x14ac:dyDescent="0.3">
      <c r="E521" s="25"/>
      <c r="H521" s="26"/>
      <c r="I521" s="26"/>
      <c r="J521" s="26"/>
    </row>
    <row r="522" spans="5:10" s="16" customFormat="1" x14ac:dyDescent="0.3">
      <c r="E522" s="25"/>
      <c r="H522" s="26"/>
      <c r="I522" s="26"/>
      <c r="J522" s="26"/>
    </row>
    <row r="523" spans="5:10" s="16" customFormat="1" x14ac:dyDescent="0.3">
      <c r="E523" s="25"/>
      <c r="H523" s="26"/>
      <c r="I523" s="26"/>
      <c r="J523" s="26"/>
    </row>
    <row r="524" spans="5:10" s="16" customFormat="1" x14ac:dyDescent="0.3">
      <c r="E524" s="25"/>
      <c r="H524" s="26"/>
      <c r="I524" s="26"/>
      <c r="J524" s="26"/>
    </row>
    <row r="525" spans="5:10" s="16" customFormat="1" x14ac:dyDescent="0.3">
      <c r="E525" s="25"/>
      <c r="H525" s="26"/>
      <c r="I525" s="26"/>
      <c r="J525" s="26"/>
    </row>
    <row r="526" spans="5:10" s="16" customFormat="1" x14ac:dyDescent="0.3">
      <c r="E526" s="25"/>
      <c r="H526" s="26"/>
      <c r="I526" s="26"/>
      <c r="J526" s="26"/>
    </row>
    <row r="527" spans="5:10" s="16" customFormat="1" x14ac:dyDescent="0.3">
      <c r="E527" s="25"/>
      <c r="H527" s="26"/>
      <c r="I527" s="26"/>
      <c r="J527" s="26"/>
    </row>
    <row r="528" spans="5:10" s="16" customFormat="1" x14ac:dyDescent="0.3">
      <c r="E528" s="25"/>
      <c r="H528" s="26"/>
      <c r="I528" s="26"/>
      <c r="J528" s="26"/>
    </row>
    <row r="529" spans="5:10" s="16" customFormat="1" x14ac:dyDescent="0.3">
      <c r="E529" s="25"/>
      <c r="H529" s="26"/>
      <c r="I529" s="26"/>
      <c r="J529" s="26"/>
    </row>
    <row r="530" spans="5:10" s="16" customFormat="1" x14ac:dyDescent="0.3">
      <c r="E530" s="25"/>
      <c r="H530" s="26"/>
      <c r="I530" s="26"/>
      <c r="J530" s="26"/>
    </row>
    <row r="531" spans="5:10" s="16" customFormat="1" x14ac:dyDescent="0.3">
      <c r="E531" s="25"/>
      <c r="H531" s="26"/>
      <c r="I531" s="26"/>
      <c r="J531" s="26"/>
    </row>
    <row r="532" spans="5:10" s="16" customFormat="1" x14ac:dyDescent="0.3">
      <c r="E532" s="25"/>
      <c r="H532" s="26"/>
      <c r="I532" s="26"/>
      <c r="J532" s="26"/>
    </row>
    <row r="533" spans="5:10" s="16" customFormat="1" x14ac:dyDescent="0.3">
      <c r="E533" s="25"/>
      <c r="H533" s="26"/>
      <c r="I533" s="26"/>
      <c r="J533" s="26"/>
    </row>
    <row r="534" spans="5:10" s="16" customFormat="1" x14ac:dyDescent="0.3">
      <c r="E534" s="25"/>
      <c r="H534" s="26"/>
      <c r="I534" s="26"/>
      <c r="J534" s="26"/>
    </row>
    <row r="535" spans="5:10" s="16" customFormat="1" x14ac:dyDescent="0.3">
      <c r="E535" s="25"/>
      <c r="H535" s="26"/>
      <c r="I535" s="26"/>
      <c r="J535" s="26"/>
    </row>
    <row r="536" spans="5:10" s="16" customFormat="1" x14ac:dyDescent="0.3">
      <c r="E536" s="25"/>
      <c r="H536" s="26"/>
      <c r="I536" s="26"/>
      <c r="J536" s="26"/>
    </row>
    <row r="537" spans="5:10" s="16" customFormat="1" x14ac:dyDescent="0.3">
      <c r="E537" s="25"/>
      <c r="H537" s="26"/>
      <c r="I537" s="26"/>
      <c r="J537" s="26"/>
    </row>
    <row r="538" spans="5:10" s="16" customFormat="1" x14ac:dyDescent="0.3">
      <c r="E538" s="25"/>
      <c r="H538" s="26"/>
      <c r="I538" s="26"/>
      <c r="J538" s="26"/>
    </row>
    <row r="539" spans="5:10" s="16" customFormat="1" x14ac:dyDescent="0.3">
      <c r="E539" s="25"/>
      <c r="H539" s="26"/>
      <c r="I539" s="26"/>
      <c r="J539" s="26"/>
    </row>
    <row r="540" spans="5:10" s="16" customFormat="1" x14ac:dyDescent="0.3">
      <c r="E540" s="25"/>
      <c r="H540" s="26"/>
      <c r="I540" s="26"/>
      <c r="J540" s="26"/>
    </row>
    <row r="541" spans="5:10" s="16" customFormat="1" x14ac:dyDescent="0.3">
      <c r="E541" s="25"/>
      <c r="H541" s="26"/>
      <c r="I541" s="26"/>
      <c r="J541" s="26"/>
    </row>
    <row r="542" spans="5:10" s="16" customFormat="1" x14ac:dyDescent="0.3">
      <c r="E542" s="25"/>
      <c r="H542" s="26"/>
      <c r="I542" s="26"/>
      <c r="J542" s="26"/>
    </row>
    <row r="543" spans="5:10" s="16" customFormat="1" x14ac:dyDescent="0.3">
      <c r="E543" s="25"/>
      <c r="H543" s="26"/>
      <c r="I543" s="26"/>
      <c r="J543" s="26"/>
    </row>
    <row r="544" spans="5:10" s="16" customFormat="1" x14ac:dyDescent="0.3">
      <c r="E544" s="25"/>
      <c r="H544" s="26"/>
      <c r="I544" s="26"/>
      <c r="J544" s="26"/>
    </row>
    <row r="545" spans="5:10" s="16" customFormat="1" x14ac:dyDescent="0.3">
      <c r="E545" s="25"/>
      <c r="H545" s="26"/>
      <c r="I545" s="26"/>
      <c r="J545" s="26"/>
    </row>
    <row r="546" spans="5:10" s="16" customFormat="1" x14ac:dyDescent="0.3">
      <c r="E546" s="25"/>
      <c r="H546" s="26"/>
      <c r="I546" s="26"/>
      <c r="J546" s="26"/>
    </row>
    <row r="547" spans="5:10" s="16" customFormat="1" x14ac:dyDescent="0.3">
      <c r="E547" s="25"/>
      <c r="H547" s="26"/>
      <c r="I547" s="26"/>
      <c r="J547" s="26"/>
    </row>
    <row r="548" spans="5:10" s="16" customFormat="1" x14ac:dyDescent="0.3">
      <c r="E548" s="25"/>
      <c r="H548" s="26"/>
      <c r="I548" s="26"/>
      <c r="J548" s="26"/>
    </row>
    <row r="549" spans="5:10" s="16" customFormat="1" x14ac:dyDescent="0.3">
      <c r="E549" s="25"/>
      <c r="H549" s="26"/>
      <c r="I549" s="26"/>
      <c r="J549" s="26"/>
    </row>
    <row r="550" spans="5:10" s="16" customFormat="1" x14ac:dyDescent="0.3">
      <c r="E550" s="25"/>
      <c r="H550" s="26"/>
      <c r="I550" s="26"/>
      <c r="J550" s="26"/>
    </row>
    <row r="551" spans="5:10" s="16" customFormat="1" x14ac:dyDescent="0.3">
      <c r="E551" s="25"/>
      <c r="H551" s="26"/>
      <c r="I551" s="26"/>
      <c r="J551" s="26"/>
    </row>
    <row r="552" spans="5:10" s="16" customFormat="1" x14ac:dyDescent="0.3">
      <c r="E552" s="25"/>
      <c r="H552" s="26"/>
      <c r="I552" s="26"/>
      <c r="J552" s="26"/>
    </row>
    <row r="553" spans="5:10" s="16" customFormat="1" x14ac:dyDescent="0.3">
      <c r="E553" s="25"/>
      <c r="H553" s="26"/>
      <c r="I553" s="26"/>
      <c r="J553" s="26"/>
    </row>
    <row r="554" spans="5:10" s="16" customFormat="1" x14ac:dyDescent="0.3">
      <c r="E554" s="25"/>
      <c r="H554" s="26"/>
      <c r="I554" s="26"/>
      <c r="J554" s="26"/>
    </row>
    <row r="555" spans="5:10" s="16" customFormat="1" x14ac:dyDescent="0.3">
      <c r="E555" s="25"/>
      <c r="H555" s="26"/>
      <c r="I555" s="26"/>
      <c r="J555" s="26"/>
    </row>
    <row r="556" spans="5:10" s="16" customFormat="1" x14ac:dyDescent="0.3">
      <c r="E556" s="25"/>
      <c r="H556" s="26"/>
      <c r="I556" s="26"/>
      <c r="J556" s="26"/>
    </row>
    <row r="557" spans="5:10" s="16" customFormat="1" x14ac:dyDescent="0.3">
      <c r="E557" s="25"/>
      <c r="H557" s="26"/>
      <c r="I557" s="26"/>
      <c r="J557" s="26"/>
    </row>
    <row r="558" spans="5:10" s="16" customFormat="1" x14ac:dyDescent="0.3">
      <c r="E558" s="25"/>
      <c r="H558" s="26"/>
      <c r="I558" s="26"/>
      <c r="J558" s="26"/>
    </row>
    <row r="559" spans="5:10" s="16" customFormat="1" x14ac:dyDescent="0.3">
      <c r="E559" s="25"/>
      <c r="H559" s="26"/>
      <c r="I559" s="26"/>
      <c r="J559" s="26"/>
    </row>
    <row r="560" spans="5:10" s="16" customFormat="1" x14ac:dyDescent="0.3">
      <c r="E560" s="25"/>
      <c r="H560" s="26"/>
      <c r="I560" s="26"/>
      <c r="J560" s="26"/>
    </row>
    <row r="561" spans="5:10" s="16" customFormat="1" x14ac:dyDescent="0.3">
      <c r="E561" s="25"/>
      <c r="H561" s="26"/>
      <c r="I561" s="26"/>
      <c r="J561" s="26"/>
    </row>
    <row r="562" spans="5:10" s="16" customFormat="1" x14ac:dyDescent="0.3">
      <c r="E562" s="25"/>
      <c r="H562" s="26"/>
      <c r="I562" s="26"/>
      <c r="J562" s="26"/>
    </row>
    <row r="563" spans="5:10" s="16" customFormat="1" x14ac:dyDescent="0.3">
      <c r="E563" s="25"/>
      <c r="H563" s="26"/>
      <c r="I563" s="26"/>
      <c r="J563" s="26"/>
    </row>
    <row r="564" spans="5:10" s="16" customFormat="1" x14ac:dyDescent="0.3">
      <c r="E564" s="25"/>
      <c r="H564" s="26"/>
      <c r="I564" s="26"/>
      <c r="J564" s="26"/>
    </row>
    <row r="565" spans="5:10" s="16" customFormat="1" x14ac:dyDescent="0.3">
      <c r="E565" s="25"/>
      <c r="H565" s="26"/>
      <c r="I565" s="26"/>
      <c r="J565" s="26"/>
    </row>
    <row r="566" spans="5:10" s="16" customFormat="1" x14ac:dyDescent="0.3">
      <c r="E566" s="25"/>
      <c r="H566" s="26"/>
      <c r="I566" s="26"/>
      <c r="J566" s="26"/>
    </row>
    <row r="567" spans="5:10" s="16" customFormat="1" x14ac:dyDescent="0.3">
      <c r="E567" s="25"/>
      <c r="H567" s="26"/>
      <c r="I567" s="26"/>
      <c r="J567" s="26"/>
    </row>
    <row r="568" spans="5:10" s="16" customFormat="1" x14ac:dyDescent="0.3">
      <c r="E568" s="25"/>
      <c r="H568" s="26"/>
      <c r="I568" s="26"/>
      <c r="J568" s="26"/>
    </row>
    <row r="569" spans="5:10" s="16" customFormat="1" x14ac:dyDescent="0.3">
      <c r="E569" s="25"/>
      <c r="H569" s="26"/>
      <c r="I569" s="26"/>
      <c r="J569" s="26"/>
    </row>
    <row r="570" spans="5:10" s="16" customFormat="1" x14ac:dyDescent="0.3">
      <c r="E570" s="25"/>
      <c r="H570" s="26"/>
      <c r="I570" s="26"/>
      <c r="J570" s="26"/>
    </row>
    <row r="571" spans="5:10" s="16" customFormat="1" x14ac:dyDescent="0.3">
      <c r="E571" s="25"/>
      <c r="H571" s="26"/>
      <c r="I571" s="26"/>
      <c r="J571" s="26"/>
    </row>
    <row r="572" spans="5:10" s="16" customFormat="1" x14ac:dyDescent="0.3">
      <c r="E572" s="25"/>
      <c r="H572" s="26"/>
      <c r="I572" s="26"/>
      <c r="J572" s="26"/>
    </row>
    <row r="573" spans="5:10" s="16" customFormat="1" x14ac:dyDescent="0.3">
      <c r="E573" s="25"/>
      <c r="H573" s="26"/>
      <c r="I573" s="26"/>
      <c r="J573" s="26"/>
    </row>
    <row r="574" spans="5:10" s="16" customFormat="1" x14ac:dyDescent="0.3">
      <c r="E574" s="25"/>
      <c r="H574" s="26"/>
      <c r="I574" s="26"/>
      <c r="J574" s="26"/>
    </row>
    <row r="575" spans="5:10" s="16" customFormat="1" x14ac:dyDescent="0.3">
      <c r="E575" s="25"/>
      <c r="H575" s="26"/>
      <c r="I575" s="26"/>
      <c r="J575" s="26"/>
    </row>
    <row r="576" spans="5:10" s="16" customFormat="1" x14ac:dyDescent="0.3">
      <c r="E576" s="25"/>
      <c r="H576" s="26"/>
      <c r="I576" s="26"/>
      <c r="J576" s="26"/>
    </row>
    <row r="577" spans="5:10" s="16" customFormat="1" x14ac:dyDescent="0.3">
      <c r="E577" s="25"/>
      <c r="H577" s="26"/>
      <c r="I577" s="26"/>
      <c r="J577" s="26"/>
    </row>
    <row r="578" spans="5:10" s="16" customFormat="1" x14ac:dyDescent="0.3">
      <c r="E578" s="25"/>
      <c r="H578" s="26"/>
      <c r="I578" s="26"/>
      <c r="J578" s="26"/>
    </row>
    <row r="579" spans="5:10" s="16" customFormat="1" x14ac:dyDescent="0.3">
      <c r="E579" s="25"/>
      <c r="H579" s="26"/>
      <c r="I579" s="26"/>
      <c r="J579" s="26"/>
    </row>
    <row r="580" spans="5:10" s="16" customFormat="1" x14ac:dyDescent="0.3">
      <c r="E580" s="25"/>
      <c r="H580" s="26"/>
      <c r="I580" s="26"/>
      <c r="J580" s="26"/>
    </row>
    <row r="581" spans="5:10" s="16" customFormat="1" x14ac:dyDescent="0.3">
      <c r="E581" s="25"/>
      <c r="H581" s="26"/>
      <c r="I581" s="26"/>
      <c r="J581" s="26"/>
    </row>
    <row r="582" spans="5:10" s="16" customFormat="1" x14ac:dyDescent="0.3">
      <c r="E582" s="25"/>
      <c r="H582" s="26"/>
      <c r="I582" s="26"/>
      <c r="J582" s="26"/>
    </row>
    <row r="583" spans="5:10" s="16" customFormat="1" x14ac:dyDescent="0.3">
      <c r="E583" s="25"/>
      <c r="H583" s="26"/>
      <c r="I583" s="26"/>
      <c r="J583" s="26"/>
    </row>
    <row r="584" spans="5:10" s="16" customFormat="1" x14ac:dyDescent="0.3">
      <c r="E584" s="25"/>
      <c r="H584" s="26"/>
      <c r="I584" s="26"/>
      <c r="J584" s="26"/>
    </row>
    <row r="585" spans="5:10" s="16" customFormat="1" x14ac:dyDescent="0.3">
      <c r="E585" s="25"/>
      <c r="H585" s="26"/>
      <c r="I585" s="26"/>
      <c r="J585" s="26"/>
    </row>
    <row r="586" spans="5:10" s="16" customFormat="1" x14ac:dyDescent="0.3">
      <c r="E586" s="25"/>
      <c r="H586" s="26"/>
      <c r="I586" s="26"/>
      <c r="J586" s="26"/>
    </row>
    <row r="587" spans="5:10" s="16" customFormat="1" x14ac:dyDescent="0.3">
      <c r="E587" s="25"/>
      <c r="H587" s="26"/>
      <c r="I587" s="26"/>
      <c r="J587" s="26"/>
    </row>
    <row r="588" spans="5:10" s="16" customFormat="1" x14ac:dyDescent="0.3">
      <c r="E588" s="25"/>
      <c r="H588" s="26"/>
      <c r="I588" s="26"/>
      <c r="J588" s="26"/>
    </row>
    <row r="589" spans="5:10" s="16" customFormat="1" x14ac:dyDescent="0.3">
      <c r="E589" s="25"/>
      <c r="H589" s="26"/>
      <c r="I589" s="26"/>
      <c r="J589" s="26"/>
    </row>
    <row r="590" spans="5:10" s="16" customFormat="1" x14ac:dyDescent="0.3">
      <c r="E590" s="25"/>
      <c r="H590" s="26"/>
      <c r="I590" s="26"/>
      <c r="J590" s="26"/>
    </row>
    <row r="591" spans="5:10" s="16" customFormat="1" x14ac:dyDescent="0.3">
      <c r="E591" s="25"/>
      <c r="H591" s="26"/>
      <c r="I591" s="26"/>
      <c r="J591" s="26"/>
    </row>
    <row r="592" spans="5:10" s="16" customFormat="1" x14ac:dyDescent="0.3">
      <c r="E592" s="25"/>
      <c r="H592" s="26"/>
      <c r="I592" s="26"/>
      <c r="J592" s="26"/>
    </row>
    <row r="593" spans="5:10" s="16" customFormat="1" x14ac:dyDescent="0.3">
      <c r="E593" s="25"/>
      <c r="H593" s="26"/>
      <c r="I593" s="26"/>
      <c r="J593" s="26"/>
    </row>
    <row r="594" spans="5:10" s="16" customFormat="1" x14ac:dyDescent="0.3">
      <c r="E594" s="25"/>
      <c r="H594" s="26"/>
      <c r="I594" s="26"/>
      <c r="J594" s="26"/>
    </row>
    <row r="595" spans="5:10" s="16" customFormat="1" x14ac:dyDescent="0.3">
      <c r="E595" s="25"/>
      <c r="H595" s="26"/>
      <c r="I595" s="26"/>
      <c r="J595" s="26"/>
    </row>
    <row r="596" spans="5:10" s="16" customFormat="1" x14ac:dyDescent="0.3">
      <c r="E596" s="25"/>
      <c r="H596" s="26"/>
      <c r="I596" s="26"/>
      <c r="J596" s="26"/>
    </row>
    <row r="597" spans="5:10" s="16" customFormat="1" x14ac:dyDescent="0.3">
      <c r="E597" s="25"/>
      <c r="H597" s="26"/>
      <c r="I597" s="26"/>
      <c r="J597" s="26"/>
    </row>
    <row r="598" spans="5:10" s="16" customFormat="1" x14ac:dyDescent="0.3">
      <c r="E598" s="25"/>
      <c r="H598" s="26"/>
      <c r="I598" s="26"/>
      <c r="J598" s="26"/>
    </row>
    <row r="599" spans="5:10" s="16" customFormat="1" x14ac:dyDescent="0.3">
      <c r="E599" s="25"/>
      <c r="H599" s="26"/>
      <c r="I599" s="26"/>
      <c r="J599" s="26"/>
    </row>
    <row r="600" spans="5:10" s="16" customFormat="1" x14ac:dyDescent="0.3">
      <c r="E600" s="25"/>
      <c r="H600" s="26"/>
      <c r="I600" s="26"/>
      <c r="J600" s="26"/>
    </row>
    <row r="601" spans="5:10" s="16" customFormat="1" x14ac:dyDescent="0.3">
      <c r="E601" s="25"/>
      <c r="H601" s="26"/>
      <c r="I601" s="26"/>
      <c r="J601" s="26"/>
    </row>
    <row r="602" spans="5:10" s="16" customFormat="1" x14ac:dyDescent="0.3">
      <c r="E602" s="25"/>
      <c r="H602" s="26"/>
      <c r="I602" s="26"/>
      <c r="J602" s="26"/>
    </row>
    <row r="603" spans="5:10" s="16" customFormat="1" x14ac:dyDescent="0.3">
      <c r="E603" s="25"/>
      <c r="H603" s="26"/>
      <c r="I603" s="26"/>
      <c r="J603" s="26"/>
    </row>
    <row r="604" spans="5:10" s="16" customFormat="1" x14ac:dyDescent="0.3">
      <c r="E604" s="25"/>
      <c r="H604" s="26"/>
      <c r="I604" s="26"/>
      <c r="J604" s="26"/>
    </row>
    <row r="605" spans="5:10" s="16" customFormat="1" x14ac:dyDescent="0.3">
      <c r="E605" s="25"/>
      <c r="H605" s="26"/>
      <c r="I605" s="26"/>
      <c r="J605" s="26"/>
    </row>
    <row r="606" spans="5:10" s="16" customFormat="1" x14ac:dyDescent="0.3">
      <c r="E606" s="25"/>
      <c r="H606" s="26"/>
      <c r="I606" s="26"/>
      <c r="J606" s="26"/>
    </row>
    <row r="607" spans="5:10" s="16" customFormat="1" x14ac:dyDescent="0.3">
      <c r="E607" s="25"/>
      <c r="H607" s="26"/>
      <c r="I607" s="26"/>
      <c r="J607" s="26"/>
    </row>
    <row r="608" spans="5:10" s="16" customFormat="1" x14ac:dyDescent="0.3">
      <c r="E608" s="25"/>
      <c r="H608" s="26"/>
      <c r="I608" s="26"/>
      <c r="J608" s="26"/>
    </row>
    <row r="609" spans="5:10" s="16" customFormat="1" x14ac:dyDescent="0.3">
      <c r="E609" s="25"/>
      <c r="H609" s="26"/>
      <c r="I609" s="26"/>
      <c r="J609" s="26"/>
    </row>
    <row r="610" spans="5:10" s="16" customFormat="1" x14ac:dyDescent="0.3">
      <c r="E610" s="25"/>
      <c r="H610" s="26"/>
      <c r="I610" s="26"/>
      <c r="J610" s="26"/>
    </row>
    <row r="611" spans="5:10" s="16" customFormat="1" x14ac:dyDescent="0.3">
      <c r="E611" s="25"/>
      <c r="H611" s="26"/>
      <c r="I611" s="26"/>
      <c r="J611" s="26"/>
    </row>
    <row r="612" spans="5:10" s="16" customFormat="1" x14ac:dyDescent="0.3">
      <c r="E612" s="25"/>
      <c r="H612" s="26"/>
      <c r="I612" s="26"/>
      <c r="J612" s="26"/>
    </row>
    <row r="613" spans="5:10" s="16" customFormat="1" x14ac:dyDescent="0.3">
      <c r="E613" s="25"/>
      <c r="H613" s="26"/>
      <c r="I613" s="26"/>
      <c r="J613" s="26"/>
    </row>
    <row r="614" spans="5:10" s="16" customFormat="1" x14ac:dyDescent="0.3">
      <c r="E614" s="25"/>
      <c r="H614" s="26"/>
      <c r="I614" s="26"/>
      <c r="J614" s="26"/>
    </row>
    <row r="615" spans="5:10" s="16" customFormat="1" x14ac:dyDescent="0.3">
      <c r="E615" s="25"/>
      <c r="H615" s="26"/>
      <c r="I615" s="26"/>
      <c r="J615" s="26"/>
    </row>
    <row r="616" spans="5:10" s="16" customFormat="1" x14ac:dyDescent="0.3">
      <c r="E616" s="25"/>
      <c r="H616" s="26"/>
      <c r="I616" s="26"/>
      <c r="J616" s="26"/>
    </row>
    <row r="617" spans="5:10" s="16" customFormat="1" x14ac:dyDescent="0.3">
      <c r="E617" s="25"/>
      <c r="H617" s="26"/>
      <c r="I617" s="26"/>
      <c r="J617" s="26"/>
    </row>
    <row r="618" spans="5:10" s="16" customFormat="1" x14ac:dyDescent="0.3">
      <c r="E618" s="25"/>
      <c r="H618" s="26"/>
      <c r="I618" s="26"/>
      <c r="J618" s="26"/>
    </row>
    <row r="619" spans="5:10" s="16" customFormat="1" x14ac:dyDescent="0.3">
      <c r="E619" s="25"/>
      <c r="H619" s="26"/>
      <c r="I619" s="26"/>
      <c r="J619" s="26"/>
    </row>
    <row r="620" spans="5:10" s="16" customFormat="1" x14ac:dyDescent="0.3">
      <c r="E620" s="25"/>
      <c r="H620" s="26"/>
      <c r="I620" s="26"/>
      <c r="J620" s="26"/>
    </row>
    <row r="621" spans="5:10" s="16" customFormat="1" x14ac:dyDescent="0.3">
      <c r="E621" s="25"/>
      <c r="H621" s="26"/>
      <c r="I621" s="26"/>
      <c r="J621" s="26"/>
    </row>
    <row r="622" spans="5:10" s="16" customFormat="1" x14ac:dyDescent="0.3">
      <c r="E622" s="25"/>
      <c r="H622" s="26"/>
      <c r="I622" s="26"/>
      <c r="J622" s="26"/>
    </row>
    <row r="623" spans="5:10" s="16" customFormat="1" x14ac:dyDescent="0.3">
      <c r="E623" s="25"/>
      <c r="H623" s="26"/>
      <c r="I623" s="26"/>
      <c r="J623" s="26"/>
    </row>
    <row r="624" spans="5:10" s="16" customFormat="1" x14ac:dyDescent="0.3">
      <c r="E624" s="25"/>
      <c r="H624" s="26"/>
      <c r="I624" s="26"/>
      <c r="J624" s="26"/>
    </row>
    <row r="625" spans="5:10" s="16" customFormat="1" x14ac:dyDescent="0.3">
      <c r="E625" s="25"/>
      <c r="H625" s="26"/>
      <c r="I625" s="26"/>
      <c r="J625" s="26"/>
    </row>
    <row r="626" spans="5:10" s="16" customFormat="1" x14ac:dyDescent="0.3">
      <c r="E626" s="25"/>
      <c r="H626" s="26"/>
      <c r="I626" s="26"/>
      <c r="J626" s="26"/>
    </row>
    <row r="627" spans="5:10" s="16" customFormat="1" x14ac:dyDescent="0.3">
      <c r="E627" s="25"/>
      <c r="H627" s="26"/>
      <c r="I627" s="26"/>
      <c r="J627" s="26"/>
    </row>
    <row r="628" spans="5:10" s="16" customFormat="1" x14ac:dyDescent="0.3">
      <c r="E628" s="25"/>
      <c r="H628" s="26"/>
      <c r="I628" s="26"/>
      <c r="J628" s="26"/>
    </row>
    <row r="629" spans="5:10" s="16" customFormat="1" x14ac:dyDescent="0.3">
      <c r="E629" s="25"/>
      <c r="H629" s="26"/>
      <c r="I629" s="26"/>
      <c r="J629" s="26"/>
    </row>
    <row r="630" spans="5:10" s="16" customFormat="1" x14ac:dyDescent="0.3">
      <c r="E630" s="25"/>
      <c r="H630" s="26"/>
      <c r="I630" s="26"/>
      <c r="J630" s="26"/>
    </row>
    <row r="631" spans="5:10" s="16" customFormat="1" x14ac:dyDescent="0.3">
      <c r="E631" s="25"/>
      <c r="H631" s="26"/>
      <c r="I631" s="26"/>
      <c r="J631" s="26"/>
    </row>
    <row r="632" spans="5:10" s="16" customFormat="1" x14ac:dyDescent="0.3">
      <c r="E632" s="25"/>
      <c r="H632" s="26"/>
      <c r="I632" s="26"/>
      <c r="J632" s="26"/>
    </row>
    <row r="633" spans="5:10" s="16" customFormat="1" x14ac:dyDescent="0.3">
      <c r="E633" s="25"/>
      <c r="H633" s="26"/>
      <c r="I633" s="26"/>
      <c r="J633" s="26"/>
    </row>
    <row r="634" spans="5:10" s="16" customFormat="1" x14ac:dyDescent="0.3">
      <c r="E634" s="25"/>
      <c r="H634" s="26"/>
      <c r="I634" s="26"/>
      <c r="J634" s="26"/>
    </row>
    <row r="635" spans="5:10" s="16" customFormat="1" x14ac:dyDescent="0.3">
      <c r="E635" s="25"/>
      <c r="H635" s="26"/>
      <c r="I635" s="26"/>
      <c r="J635" s="26"/>
    </row>
    <row r="636" spans="5:10" s="16" customFormat="1" x14ac:dyDescent="0.3">
      <c r="E636" s="25"/>
      <c r="H636" s="26"/>
      <c r="I636" s="26"/>
      <c r="J636" s="26"/>
    </row>
    <row r="637" spans="5:10" s="16" customFormat="1" x14ac:dyDescent="0.3">
      <c r="E637" s="25"/>
      <c r="H637" s="26"/>
      <c r="I637" s="26"/>
      <c r="J637" s="26"/>
    </row>
    <row r="638" spans="5:10" s="16" customFormat="1" x14ac:dyDescent="0.3">
      <c r="E638" s="25"/>
      <c r="H638" s="26"/>
      <c r="I638" s="26"/>
      <c r="J638" s="26"/>
    </row>
    <row r="639" spans="5:10" s="16" customFormat="1" x14ac:dyDescent="0.3">
      <c r="E639" s="25"/>
      <c r="H639" s="26"/>
      <c r="I639" s="26"/>
      <c r="J639" s="26"/>
    </row>
    <row r="640" spans="5:10" s="16" customFormat="1" x14ac:dyDescent="0.3">
      <c r="E640" s="25"/>
      <c r="H640" s="26"/>
      <c r="I640" s="26"/>
      <c r="J640" s="26"/>
    </row>
    <row r="641" spans="5:10" s="16" customFormat="1" x14ac:dyDescent="0.3">
      <c r="E641" s="25"/>
      <c r="H641" s="26"/>
      <c r="I641" s="26"/>
      <c r="J641" s="26"/>
    </row>
    <row r="642" spans="5:10" s="16" customFormat="1" x14ac:dyDescent="0.3">
      <c r="E642" s="25"/>
      <c r="H642" s="26"/>
      <c r="I642" s="26"/>
      <c r="J642" s="26"/>
    </row>
    <row r="643" spans="5:10" s="16" customFormat="1" x14ac:dyDescent="0.3">
      <c r="E643" s="25"/>
      <c r="H643" s="26"/>
      <c r="I643" s="26"/>
      <c r="J643" s="26"/>
    </row>
    <row r="644" spans="5:10" s="16" customFormat="1" x14ac:dyDescent="0.3">
      <c r="E644" s="25"/>
      <c r="H644" s="26"/>
      <c r="I644" s="26"/>
      <c r="J644" s="26"/>
    </row>
    <row r="645" spans="5:10" s="16" customFormat="1" x14ac:dyDescent="0.3">
      <c r="E645" s="25"/>
      <c r="H645" s="26"/>
      <c r="I645" s="26"/>
      <c r="J645" s="26"/>
    </row>
    <row r="646" spans="5:10" s="16" customFormat="1" x14ac:dyDescent="0.3">
      <c r="E646" s="25"/>
      <c r="H646" s="26"/>
      <c r="I646" s="26"/>
      <c r="J646" s="26"/>
    </row>
    <row r="647" spans="5:10" s="16" customFormat="1" x14ac:dyDescent="0.3">
      <c r="E647" s="25"/>
      <c r="H647" s="26"/>
      <c r="I647" s="26"/>
      <c r="J647" s="26"/>
    </row>
    <row r="648" spans="5:10" s="16" customFormat="1" x14ac:dyDescent="0.3">
      <c r="E648" s="25"/>
      <c r="H648" s="26"/>
      <c r="I648" s="26"/>
      <c r="J648" s="26"/>
    </row>
    <row r="649" spans="5:10" s="16" customFormat="1" x14ac:dyDescent="0.3">
      <c r="E649" s="25"/>
      <c r="H649" s="26"/>
      <c r="I649" s="26"/>
      <c r="J649" s="26"/>
    </row>
    <row r="650" spans="5:10" s="16" customFormat="1" x14ac:dyDescent="0.3">
      <c r="E650" s="25"/>
      <c r="H650" s="26"/>
      <c r="I650" s="26"/>
      <c r="J650" s="26"/>
    </row>
    <row r="651" spans="5:10" s="16" customFormat="1" x14ac:dyDescent="0.3">
      <c r="E651" s="25"/>
      <c r="H651" s="26"/>
      <c r="I651" s="26"/>
      <c r="J651" s="26"/>
    </row>
    <row r="652" spans="5:10" s="16" customFormat="1" x14ac:dyDescent="0.3">
      <c r="E652" s="25"/>
      <c r="H652" s="26"/>
      <c r="I652" s="26"/>
      <c r="J652" s="26"/>
    </row>
    <row r="653" spans="5:10" s="16" customFormat="1" x14ac:dyDescent="0.3">
      <c r="E653" s="25"/>
      <c r="H653" s="26"/>
      <c r="I653" s="26"/>
      <c r="J653" s="26"/>
    </row>
    <row r="654" spans="5:10" s="16" customFormat="1" x14ac:dyDescent="0.3">
      <c r="E654" s="25"/>
      <c r="H654" s="26"/>
      <c r="I654" s="26"/>
      <c r="J654" s="26"/>
    </row>
    <row r="655" spans="5:10" s="16" customFormat="1" x14ac:dyDescent="0.3">
      <c r="E655" s="25"/>
      <c r="H655" s="26"/>
      <c r="I655" s="26"/>
      <c r="J655" s="26"/>
    </row>
    <row r="656" spans="5:10" s="16" customFormat="1" x14ac:dyDescent="0.3">
      <c r="E656" s="25"/>
      <c r="H656" s="26"/>
      <c r="I656" s="26"/>
      <c r="J656" s="26"/>
    </row>
    <row r="657" spans="5:10" s="16" customFormat="1" x14ac:dyDescent="0.3">
      <c r="E657" s="25"/>
      <c r="H657" s="26"/>
      <c r="I657" s="26"/>
      <c r="J657" s="26"/>
    </row>
    <row r="658" spans="5:10" s="16" customFormat="1" x14ac:dyDescent="0.3">
      <c r="E658" s="25"/>
      <c r="H658" s="26"/>
      <c r="I658" s="26"/>
      <c r="J658" s="26"/>
    </row>
    <row r="659" spans="5:10" s="16" customFormat="1" x14ac:dyDescent="0.3">
      <c r="E659" s="25"/>
      <c r="H659" s="26"/>
      <c r="I659" s="26"/>
      <c r="J659" s="26"/>
    </row>
    <row r="660" spans="5:10" s="16" customFormat="1" x14ac:dyDescent="0.3">
      <c r="E660" s="25"/>
      <c r="H660" s="26"/>
      <c r="I660" s="26"/>
      <c r="J660" s="26"/>
    </row>
    <row r="661" spans="5:10" s="16" customFormat="1" x14ac:dyDescent="0.3">
      <c r="E661" s="25"/>
      <c r="H661" s="26"/>
      <c r="I661" s="26"/>
      <c r="J661" s="26"/>
    </row>
    <row r="662" spans="5:10" s="16" customFormat="1" x14ac:dyDescent="0.3">
      <c r="E662" s="25"/>
      <c r="H662" s="26"/>
      <c r="I662" s="26"/>
      <c r="J662" s="26"/>
    </row>
    <row r="663" spans="5:10" s="16" customFormat="1" x14ac:dyDescent="0.3">
      <c r="E663" s="25"/>
      <c r="H663" s="26"/>
      <c r="I663" s="26"/>
      <c r="J663" s="26"/>
    </row>
    <row r="664" spans="5:10" s="16" customFormat="1" x14ac:dyDescent="0.3">
      <c r="E664" s="25"/>
      <c r="H664" s="26"/>
      <c r="I664" s="26"/>
      <c r="J664" s="26"/>
    </row>
    <row r="665" spans="5:10" s="16" customFormat="1" x14ac:dyDescent="0.3">
      <c r="E665" s="25"/>
      <c r="H665" s="26"/>
      <c r="I665" s="26"/>
      <c r="J665" s="26"/>
    </row>
    <row r="666" spans="5:10" s="16" customFormat="1" x14ac:dyDescent="0.3">
      <c r="E666" s="25"/>
      <c r="H666" s="26"/>
      <c r="I666" s="26"/>
      <c r="J666" s="26"/>
    </row>
    <row r="667" spans="5:10" s="16" customFormat="1" x14ac:dyDescent="0.3">
      <c r="E667" s="25"/>
      <c r="H667" s="26"/>
      <c r="I667" s="26"/>
      <c r="J667" s="26"/>
    </row>
    <row r="668" spans="5:10" s="16" customFormat="1" x14ac:dyDescent="0.3">
      <c r="E668" s="25"/>
      <c r="H668" s="26"/>
      <c r="I668" s="26"/>
      <c r="J668" s="26"/>
    </row>
    <row r="669" spans="5:10" s="16" customFormat="1" x14ac:dyDescent="0.3">
      <c r="E669" s="25"/>
      <c r="H669" s="26"/>
      <c r="I669" s="26"/>
      <c r="J669" s="26"/>
    </row>
    <row r="670" spans="5:10" s="16" customFormat="1" x14ac:dyDescent="0.3">
      <c r="E670" s="25"/>
      <c r="H670" s="26"/>
      <c r="I670" s="26"/>
      <c r="J670" s="26"/>
    </row>
    <row r="671" spans="5:10" s="16" customFormat="1" x14ac:dyDescent="0.3">
      <c r="E671" s="25"/>
      <c r="H671" s="26"/>
      <c r="I671" s="26"/>
      <c r="J671" s="26"/>
    </row>
    <row r="672" spans="5:10" s="16" customFormat="1" x14ac:dyDescent="0.3">
      <c r="E672" s="25"/>
      <c r="H672" s="26"/>
      <c r="I672" s="26"/>
      <c r="J672" s="26"/>
    </row>
    <row r="673" spans="5:10" s="16" customFormat="1" x14ac:dyDescent="0.3">
      <c r="E673" s="25"/>
      <c r="H673" s="26"/>
      <c r="I673" s="26"/>
      <c r="J673" s="26"/>
    </row>
    <row r="674" spans="5:10" s="16" customFormat="1" x14ac:dyDescent="0.3">
      <c r="E674" s="25"/>
      <c r="H674" s="26"/>
      <c r="I674" s="26"/>
      <c r="J674" s="26"/>
    </row>
    <row r="675" spans="5:10" s="16" customFormat="1" x14ac:dyDescent="0.3">
      <c r="E675" s="25"/>
      <c r="H675" s="26"/>
      <c r="I675" s="26"/>
      <c r="J675" s="26"/>
    </row>
    <row r="676" spans="5:10" s="16" customFormat="1" x14ac:dyDescent="0.3">
      <c r="E676" s="25"/>
      <c r="H676" s="26"/>
      <c r="I676" s="26"/>
      <c r="J676" s="26"/>
    </row>
    <row r="677" spans="5:10" s="16" customFormat="1" x14ac:dyDescent="0.3">
      <c r="E677" s="25"/>
      <c r="H677" s="26"/>
      <c r="I677" s="26"/>
      <c r="J677" s="26"/>
    </row>
    <row r="678" spans="5:10" s="16" customFormat="1" x14ac:dyDescent="0.3">
      <c r="E678" s="25"/>
      <c r="H678" s="26"/>
      <c r="I678" s="26"/>
      <c r="J678" s="26"/>
    </row>
    <row r="679" spans="5:10" s="16" customFormat="1" x14ac:dyDescent="0.3">
      <c r="E679" s="25"/>
      <c r="H679" s="26"/>
      <c r="I679" s="26"/>
      <c r="J679" s="26"/>
    </row>
    <row r="680" spans="5:10" s="16" customFormat="1" x14ac:dyDescent="0.3">
      <c r="E680" s="25"/>
      <c r="H680" s="26"/>
      <c r="I680" s="26"/>
      <c r="J680" s="26"/>
    </row>
    <row r="681" spans="5:10" s="16" customFormat="1" x14ac:dyDescent="0.3">
      <c r="E681" s="25"/>
      <c r="H681" s="26"/>
      <c r="I681" s="26"/>
      <c r="J681" s="26"/>
    </row>
    <row r="682" spans="5:10" s="16" customFormat="1" x14ac:dyDescent="0.3">
      <c r="E682" s="25"/>
      <c r="H682" s="26"/>
      <c r="I682" s="26"/>
      <c r="J682" s="26"/>
    </row>
    <row r="683" spans="5:10" s="16" customFormat="1" x14ac:dyDescent="0.3">
      <c r="E683" s="25"/>
      <c r="H683" s="26"/>
      <c r="I683" s="26"/>
      <c r="J683" s="26"/>
    </row>
    <row r="684" spans="5:10" s="16" customFormat="1" x14ac:dyDescent="0.3">
      <c r="E684" s="25"/>
      <c r="H684" s="26"/>
      <c r="I684" s="26"/>
      <c r="J684" s="26"/>
    </row>
    <row r="685" spans="5:10" s="16" customFormat="1" x14ac:dyDescent="0.3">
      <c r="E685" s="25"/>
      <c r="H685" s="26"/>
      <c r="I685" s="26"/>
      <c r="J685" s="26"/>
    </row>
    <row r="686" spans="5:10" s="16" customFormat="1" x14ac:dyDescent="0.3">
      <c r="E686" s="25"/>
      <c r="H686" s="26"/>
      <c r="I686" s="26"/>
      <c r="J686" s="26"/>
    </row>
    <row r="687" spans="5:10" s="16" customFormat="1" x14ac:dyDescent="0.3">
      <c r="E687" s="25"/>
      <c r="H687" s="26"/>
      <c r="I687" s="26"/>
      <c r="J687" s="26"/>
    </row>
    <row r="688" spans="5:10" s="16" customFormat="1" x14ac:dyDescent="0.3">
      <c r="E688" s="25"/>
      <c r="H688" s="26"/>
      <c r="I688" s="26"/>
      <c r="J688" s="26"/>
    </row>
    <row r="689" spans="5:10" s="16" customFormat="1" x14ac:dyDescent="0.3">
      <c r="E689" s="25"/>
      <c r="H689" s="26"/>
      <c r="I689" s="26"/>
      <c r="J689" s="26"/>
    </row>
    <row r="690" spans="5:10" s="16" customFormat="1" x14ac:dyDescent="0.3">
      <c r="E690" s="25"/>
      <c r="H690" s="26"/>
      <c r="I690" s="26"/>
      <c r="J690" s="26"/>
    </row>
    <row r="691" spans="5:10" s="16" customFormat="1" x14ac:dyDescent="0.3">
      <c r="E691" s="25"/>
      <c r="H691" s="26"/>
      <c r="I691" s="26"/>
      <c r="J691" s="26"/>
    </row>
    <row r="692" spans="5:10" s="16" customFormat="1" x14ac:dyDescent="0.3">
      <c r="E692" s="25"/>
      <c r="H692" s="26"/>
      <c r="I692" s="26"/>
      <c r="J692" s="26"/>
    </row>
    <row r="693" spans="5:10" s="16" customFormat="1" x14ac:dyDescent="0.3">
      <c r="E693" s="25"/>
      <c r="H693" s="26"/>
      <c r="I693" s="26"/>
      <c r="J693" s="26"/>
    </row>
    <row r="694" spans="5:10" s="16" customFormat="1" x14ac:dyDescent="0.3">
      <c r="E694" s="25"/>
      <c r="H694" s="26"/>
      <c r="I694" s="26"/>
      <c r="J694" s="26"/>
    </row>
    <row r="695" spans="5:10" s="16" customFormat="1" x14ac:dyDescent="0.3">
      <c r="E695" s="25"/>
      <c r="H695" s="26"/>
      <c r="I695" s="26"/>
      <c r="J695" s="26"/>
    </row>
    <row r="696" spans="5:10" s="16" customFormat="1" x14ac:dyDescent="0.3">
      <c r="E696" s="25"/>
      <c r="H696" s="26"/>
      <c r="I696" s="26"/>
      <c r="J696" s="26"/>
    </row>
    <row r="697" spans="5:10" s="16" customFormat="1" x14ac:dyDescent="0.3">
      <c r="E697" s="25"/>
      <c r="H697" s="26"/>
      <c r="I697" s="26"/>
      <c r="J697" s="26"/>
    </row>
    <row r="698" spans="5:10" s="16" customFormat="1" x14ac:dyDescent="0.3">
      <c r="E698" s="25"/>
      <c r="H698" s="26"/>
      <c r="I698" s="26"/>
      <c r="J698" s="26"/>
    </row>
    <row r="699" spans="5:10" s="16" customFormat="1" x14ac:dyDescent="0.3">
      <c r="E699" s="25"/>
      <c r="H699" s="26"/>
      <c r="I699" s="26"/>
      <c r="J699" s="26"/>
    </row>
    <row r="700" spans="5:10" s="16" customFormat="1" x14ac:dyDescent="0.3">
      <c r="E700" s="25"/>
      <c r="H700" s="26"/>
      <c r="I700" s="26"/>
      <c r="J700" s="26"/>
    </row>
    <row r="701" spans="5:10" s="16" customFormat="1" x14ac:dyDescent="0.3">
      <c r="E701" s="25"/>
      <c r="H701" s="26"/>
      <c r="I701" s="26"/>
      <c r="J701" s="26"/>
    </row>
    <row r="702" spans="5:10" s="16" customFormat="1" x14ac:dyDescent="0.3">
      <c r="E702" s="25"/>
      <c r="H702" s="26"/>
      <c r="I702" s="26"/>
      <c r="J702" s="26"/>
    </row>
    <row r="703" spans="5:10" s="16" customFormat="1" x14ac:dyDescent="0.3">
      <c r="E703" s="25"/>
      <c r="H703" s="26"/>
      <c r="I703" s="26"/>
      <c r="J703" s="26"/>
    </row>
    <row r="704" spans="5:10" s="16" customFormat="1" x14ac:dyDescent="0.3">
      <c r="E704" s="25"/>
      <c r="H704" s="26"/>
      <c r="I704" s="26"/>
      <c r="J704" s="26"/>
    </row>
    <row r="705" spans="5:10" s="16" customFormat="1" x14ac:dyDescent="0.3">
      <c r="E705" s="25"/>
      <c r="H705" s="26"/>
      <c r="I705" s="26"/>
      <c r="J705" s="26"/>
    </row>
    <row r="706" spans="5:10" s="16" customFormat="1" x14ac:dyDescent="0.3">
      <c r="E706" s="25"/>
      <c r="H706" s="26"/>
      <c r="I706" s="26"/>
      <c r="J706" s="26"/>
    </row>
    <row r="707" spans="5:10" s="16" customFormat="1" x14ac:dyDescent="0.3">
      <c r="E707" s="25"/>
      <c r="H707" s="26"/>
      <c r="I707" s="26"/>
      <c r="J707" s="26"/>
    </row>
    <row r="708" spans="5:10" s="16" customFormat="1" x14ac:dyDescent="0.3">
      <c r="E708" s="25"/>
      <c r="H708" s="26"/>
      <c r="I708" s="26"/>
      <c r="J708" s="26"/>
    </row>
    <row r="709" spans="5:10" s="16" customFormat="1" x14ac:dyDescent="0.3">
      <c r="E709" s="25"/>
      <c r="H709" s="26"/>
      <c r="I709" s="26"/>
      <c r="J709" s="26"/>
    </row>
    <row r="710" spans="5:10" s="16" customFormat="1" x14ac:dyDescent="0.3">
      <c r="E710" s="25"/>
      <c r="H710" s="26"/>
      <c r="I710" s="26"/>
      <c r="J710" s="26"/>
    </row>
    <row r="711" spans="5:10" s="16" customFormat="1" x14ac:dyDescent="0.3">
      <c r="E711" s="25"/>
      <c r="H711" s="26"/>
      <c r="I711" s="26"/>
      <c r="J711" s="26"/>
    </row>
    <row r="712" spans="5:10" s="16" customFormat="1" x14ac:dyDescent="0.3">
      <c r="E712" s="25"/>
      <c r="H712" s="26"/>
      <c r="I712" s="26"/>
      <c r="J712" s="26"/>
    </row>
    <row r="713" spans="5:10" s="16" customFormat="1" x14ac:dyDescent="0.3">
      <c r="E713" s="25"/>
      <c r="H713" s="26"/>
      <c r="I713" s="26"/>
      <c r="J713" s="26"/>
    </row>
    <row r="714" spans="5:10" s="16" customFormat="1" x14ac:dyDescent="0.3">
      <c r="E714" s="25"/>
      <c r="H714" s="26"/>
      <c r="I714" s="26"/>
      <c r="J714" s="26"/>
    </row>
    <row r="715" spans="5:10" s="16" customFormat="1" x14ac:dyDescent="0.3">
      <c r="E715" s="25"/>
      <c r="H715" s="26"/>
      <c r="I715" s="26"/>
      <c r="J715" s="26"/>
    </row>
    <row r="716" spans="5:10" s="16" customFormat="1" x14ac:dyDescent="0.3">
      <c r="E716" s="25"/>
      <c r="H716" s="26"/>
      <c r="I716" s="26"/>
      <c r="J716" s="26"/>
    </row>
    <row r="717" spans="5:10" s="16" customFormat="1" x14ac:dyDescent="0.3">
      <c r="E717" s="25"/>
      <c r="H717" s="26"/>
      <c r="I717" s="26"/>
      <c r="J717" s="26"/>
    </row>
    <row r="718" spans="5:10" s="16" customFormat="1" x14ac:dyDescent="0.3">
      <c r="E718" s="25"/>
      <c r="H718" s="26"/>
      <c r="I718" s="26"/>
      <c r="J718" s="26"/>
    </row>
    <row r="719" spans="5:10" s="16" customFormat="1" x14ac:dyDescent="0.3">
      <c r="E719" s="25"/>
      <c r="H719" s="26"/>
      <c r="I719" s="26"/>
      <c r="J719" s="26"/>
    </row>
    <row r="720" spans="5:10" s="16" customFormat="1" x14ac:dyDescent="0.3">
      <c r="E720" s="25"/>
      <c r="H720" s="26"/>
      <c r="I720" s="26"/>
      <c r="J720" s="26"/>
    </row>
    <row r="721" spans="5:10" s="16" customFormat="1" x14ac:dyDescent="0.3">
      <c r="E721" s="25"/>
      <c r="H721" s="26"/>
      <c r="I721" s="26"/>
      <c r="J721" s="26"/>
    </row>
    <row r="722" spans="5:10" s="16" customFormat="1" x14ac:dyDescent="0.3">
      <c r="E722" s="25"/>
      <c r="H722" s="26"/>
      <c r="I722" s="26"/>
      <c r="J722" s="26"/>
    </row>
    <row r="723" spans="5:10" s="16" customFormat="1" x14ac:dyDescent="0.3">
      <c r="E723" s="25"/>
      <c r="H723" s="26"/>
      <c r="I723" s="26"/>
      <c r="J723" s="26"/>
    </row>
    <row r="724" spans="5:10" s="16" customFormat="1" x14ac:dyDescent="0.3">
      <c r="E724" s="25"/>
      <c r="H724" s="26"/>
      <c r="I724" s="26"/>
      <c r="J724" s="26"/>
    </row>
    <row r="725" spans="5:10" s="16" customFormat="1" x14ac:dyDescent="0.3">
      <c r="E725" s="25"/>
      <c r="H725" s="26"/>
      <c r="I725" s="26"/>
      <c r="J725" s="26"/>
    </row>
    <row r="726" spans="5:10" s="16" customFormat="1" x14ac:dyDescent="0.3">
      <c r="E726" s="25"/>
      <c r="H726" s="26"/>
      <c r="I726" s="26"/>
      <c r="J726" s="26"/>
    </row>
    <row r="727" spans="5:10" s="16" customFormat="1" x14ac:dyDescent="0.3">
      <c r="E727" s="25"/>
      <c r="H727" s="26"/>
      <c r="I727" s="26"/>
      <c r="J727" s="26"/>
    </row>
    <row r="728" spans="5:10" s="16" customFormat="1" x14ac:dyDescent="0.3">
      <c r="E728" s="25"/>
      <c r="H728" s="26"/>
      <c r="I728" s="26"/>
      <c r="J728" s="26"/>
    </row>
    <row r="729" spans="5:10" s="16" customFormat="1" x14ac:dyDescent="0.3">
      <c r="E729" s="25"/>
      <c r="H729" s="26"/>
      <c r="I729" s="26"/>
      <c r="J729" s="26"/>
    </row>
    <row r="730" spans="5:10" s="16" customFormat="1" x14ac:dyDescent="0.3">
      <c r="E730" s="25"/>
      <c r="H730" s="26"/>
      <c r="I730" s="26"/>
      <c r="J730" s="26"/>
    </row>
    <row r="731" spans="5:10" s="16" customFormat="1" x14ac:dyDescent="0.3">
      <c r="E731" s="25"/>
      <c r="H731" s="26"/>
      <c r="I731" s="26"/>
      <c r="J731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0727A-F9AF-4DD3-8DA4-4B0E05C423B2}">
  <dimension ref="A1:D13"/>
  <sheetViews>
    <sheetView tabSelected="1" workbookViewId="0"/>
  </sheetViews>
  <sheetFormatPr defaultRowHeight="14.4" x14ac:dyDescent="0.3"/>
  <cols>
    <col min="1" max="1" width="14.88671875" bestFit="1" customWidth="1"/>
    <col min="2" max="2" width="15.5546875" bestFit="1" customWidth="1"/>
    <col min="3" max="3" width="7" bestFit="1" customWidth="1"/>
    <col min="4" max="4" width="10.77734375" bestFit="1" customWidth="1"/>
    <col min="5" max="5" width="14.88671875" bestFit="1" customWidth="1"/>
    <col min="6" max="6" width="15.88671875" bestFit="1" customWidth="1"/>
    <col min="7" max="7" width="19.6640625" bestFit="1" customWidth="1"/>
  </cols>
  <sheetData>
    <row r="1" spans="1:4" x14ac:dyDescent="0.3">
      <c r="A1" s="36" t="s">
        <v>271</v>
      </c>
      <c r="B1" s="36" t="s">
        <v>268</v>
      </c>
    </row>
    <row r="2" spans="1:4" x14ac:dyDescent="0.3">
      <c r="A2" s="36" t="s">
        <v>270</v>
      </c>
      <c r="B2" s="37">
        <v>2018</v>
      </c>
      <c r="C2" s="37">
        <v>2019</v>
      </c>
      <c r="D2" s="37" t="s">
        <v>269</v>
      </c>
    </row>
    <row r="3" spans="1:4" x14ac:dyDescent="0.3">
      <c r="A3" s="38" t="s">
        <v>3</v>
      </c>
      <c r="B3" s="35">
        <v>11875</v>
      </c>
      <c r="C3" s="35"/>
      <c r="D3" s="35">
        <v>11875</v>
      </c>
    </row>
    <row r="4" spans="1:4" x14ac:dyDescent="0.3">
      <c r="A4" s="38" t="s">
        <v>4</v>
      </c>
      <c r="B4" s="35">
        <v>50263</v>
      </c>
      <c r="C4" s="35"/>
      <c r="D4" s="35">
        <v>50263</v>
      </c>
    </row>
    <row r="5" spans="1:4" x14ac:dyDescent="0.3">
      <c r="A5" s="38" t="s">
        <v>72</v>
      </c>
      <c r="B5" s="35">
        <v>2545</v>
      </c>
      <c r="C5" s="35"/>
      <c r="D5" s="35">
        <v>2545</v>
      </c>
    </row>
    <row r="6" spans="1:4" x14ac:dyDescent="0.3">
      <c r="A6" s="38" t="s">
        <v>6</v>
      </c>
      <c r="B6" s="35">
        <v>13506</v>
      </c>
      <c r="C6" s="35"/>
      <c r="D6" s="35">
        <v>13506</v>
      </c>
    </row>
    <row r="7" spans="1:4" x14ac:dyDescent="0.3">
      <c r="A7" s="38" t="s">
        <v>11</v>
      </c>
      <c r="B7" s="35">
        <v>3044</v>
      </c>
      <c r="C7" s="35"/>
      <c r="D7" s="35">
        <v>3044</v>
      </c>
    </row>
    <row r="8" spans="1:4" x14ac:dyDescent="0.3">
      <c r="A8" s="38" t="s">
        <v>1</v>
      </c>
      <c r="B8" s="35">
        <v>8478</v>
      </c>
      <c r="C8" s="35">
        <v>34169</v>
      </c>
      <c r="D8" s="35">
        <v>42647</v>
      </c>
    </row>
    <row r="9" spans="1:4" x14ac:dyDescent="0.3">
      <c r="A9" s="38" t="s">
        <v>210</v>
      </c>
      <c r="B9" s="35"/>
      <c r="C9" s="35">
        <v>87243</v>
      </c>
      <c r="D9" s="35">
        <v>87243</v>
      </c>
    </row>
    <row r="10" spans="1:4" x14ac:dyDescent="0.3">
      <c r="A10" s="38" t="s">
        <v>7</v>
      </c>
      <c r="B10" s="35">
        <v>63144</v>
      </c>
      <c r="C10" s="35"/>
      <c r="D10" s="35">
        <v>63144</v>
      </c>
    </row>
    <row r="11" spans="1:4" x14ac:dyDescent="0.3">
      <c r="A11" s="38" t="s">
        <v>8</v>
      </c>
      <c r="B11" s="35"/>
      <c r="C11" s="35">
        <v>135636</v>
      </c>
      <c r="D11" s="35">
        <v>135636</v>
      </c>
    </row>
    <row r="12" spans="1:4" x14ac:dyDescent="0.3">
      <c r="A12" s="38" t="s">
        <v>9</v>
      </c>
      <c r="B12" s="35">
        <v>36624</v>
      </c>
      <c r="C12" s="35">
        <v>36097</v>
      </c>
      <c r="D12" s="35">
        <v>72721</v>
      </c>
    </row>
    <row r="13" spans="1:4" x14ac:dyDescent="0.3">
      <c r="A13" s="38" t="s">
        <v>269</v>
      </c>
      <c r="B13" s="35">
        <v>189479</v>
      </c>
      <c r="C13" s="35">
        <v>293145</v>
      </c>
      <c r="D13" s="35">
        <v>482624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selection activeCell="B2" sqref="B2:C12"/>
    </sheetView>
  </sheetViews>
  <sheetFormatPr defaultColWidth="8.88671875" defaultRowHeight="14.4" x14ac:dyDescent="0.3"/>
  <cols>
    <col min="2" max="2" width="17.109375" customWidth="1"/>
    <col min="3" max="3" width="15.44140625" customWidth="1"/>
  </cols>
  <sheetData>
    <row r="1" spans="1:3" x14ac:dyDescent="0.3">
      <c r="A1" t="s">
        <v>252</v>
      </c>
    </row>
    <row r="2" spans="1:3" ht="15.6" x14ac:dyDescent="0.3">
      <c r="B2" s="27"/>
      <c r="C2" s="28" t="s">
        <v>253</v>
      </c>
    </row>
    <row r="3" spans="1:3" x14ac:dyDescent="0.3">
      <c r="A3">
        <v>1</v>
      </c>
      <c r="B3" t="s">
        <v>254</v>
      </c>
      <c r="C3" s="29">
        <v>2165603.9259000025</v>
      </c>
    </row>
    <row r="4" spans="1:3" x14ac:dyDescent="0.3">
      <c r="A4">
        <v>2</v>
      </c>
      <c r="B4" t="s">
        <v>255</v>
      </c>
      <c r="C4" s="29">
        <v>1735069.6846299989</v>
      </c>
    </row>
    <row r="5" spans="1:3" x14ac:dyDescent="0.3">
      <c r="A5">
        <v>3</v>
      </c>
      <c r="B5" t="s">
        <v>256</v>
      </c>
      <c r="C5" s="29">
        <v>1354912.8007399994</v>
      </c>
    </row>
    <row r="6" spans="1:3" x14ac:dyDescent="0.3">
      <c r="A6">
        <v>4</v>
      </c>
      <c r="B6" t="s">
        <v>257</v>
      </c>
      <c r="C6" s="29">
        <v>866674.14456000004</v>
      </c>
    </row>
    <row r="7" spans="1:3" x14ac:dyDescent="0.3">
      <c r="A7">
        <v>5</v>
      </c>
      <c r="B7" t="s">
        <v>258</v>
      </c>
      <c r="C7" s="29">
        <v>467110.70620000007</v>
      </c>
    </row>
    <row r="8" spans="1:3" x14ac:dyDescent="0.3">
      <c r="A8">
        <v>6</v>
      </c>
      <c r="B8" t="s">
        <v>259</v>
      </c>
      <c r="C8" s="29">
        <v>332749.09223000036</v>
      </c>
    </row>
    <row r="9" spans="1:3" x14ac:dyDescent="0.3">
      <c r="A9">
        <v>7</v>
      </c>
      <c r="B9" t="s">
        <v>260</v>
      </c>
      <c r="C9" s="29">
        <v>164547.4529</v>
      </c>
    </row>
    <row r="10" spans="1:3" x14ac:dyDescent="0.3">
      <c r="A10">
        <v>8</v>
      </c>
      <c r="B10" t="s">
        <v>261</v>
      </c>
      <c r="C10" s="29">
        <v>164264.98600000003</v>
      </c>
    </row>
    <row r="11" spans="1:3" x14ac:dyDescent="0.3">
      <c r="A11">
        <v>9</v>
      </c>
      <c r="B11" t="s">
        <v>262</v>
      </c>
      <c r="C11" s="29">
        <v>141853.7015000002</v>
      </c>
    </row>
    <row r="12" spans="1:3" x14ac:dyDescent="0.3">
      <c r="A12">
        <v>10</v>
      </c>
      <c r="B12" t="s">
        <v>263</v>
      </c>
      <c r="C12" s="29">
        <v>132001.63206</v>
      </c>
    </row>
  </sheetData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AB93F1B5-FD28-48AB-9239-DC91E3C583EF}">
          <xm:f>Export!$B$2:$C$12</xm:f>
        </x15:webExtension>
      </x15:webExtens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13"/>
  <sheetViews>
    <sheetView topLeftCell="A690" workbookViewId="0">
      <selection activeCell="F699" sqref="F699"/>
    </sheetView>
  </sheetViews>
  <sheetFormatPr defaultRowHeight="14.4" x14ac:dyDescent="0.3"/>
  <cols>
    <col min="2" max="3" width="11.109375" customWidth="1"/>
  </cols>
  <sheetData>
    <row r="1" spans="1:3" x14ac:dyDescent="0.3">
      <c r="A1" s="33" t="s">
        <v>266</v>
      </c>
    </row>
    <row r="3" spans="1:3" x14ac:dyDescent="0.3">
      <c r="B3" s="30" t="s">
        <v>265</v>
      </c>
      <c r="C3" s="30" t="s">
        <v>264</v>
      </c>
    </row>
    <row r="4" spans="1:3" x14ac:dyDescent="0.3">
      <c r="A4" s="31"/>
      <c r="B4" s="3">
        <v>76</v>
      </c>
      <c r="C4" s="3">
        <v>35</v>
      </c>
    </row>
    <row r="5" spans="1:3" x14ac:dyDescent="0.3">
      <c r="A5" s="32"/>
      <c r="B5" s="3">
        <v>79</v>
      </c>
      <c r="C5" s="3">
        <v>42</v>
      </c>
    </row>
    <row r="6" spans="1:3" x14ac:dyDescent="0.3">
      <c r="A6" s="32"/>
      <c r="B6" s="3">
        <v>34</v>
      </c>
      <c r="C6" s="3">
        <v>0</v>
      </c>
    </row>
    <row r="7" spans="1:3" x14ac:dyDescent="0.3">
      <c r="A7" s="32"/>
      <c r="B7" s="3">
        <v>0</v>
      </c>
      <c r="C7" s="3">
        <v>44</v>
      </c>
    </row>
    <row r="8" spans="1:3" x14ac:dyDescent="0.3">
      <c r="A8" s="32"/>
      <c r="B8" s="3">
        <v>46</v>
      </c>
      <c r="C8" s="3">
        <v>30</v>
      </c>
    </row>
    <row r="9" spans="1:3" x14ac:dyDescent="0.3">
      <c r="A9" s="32"/>
      <c r="B9" s="3">
        <v>34</v>
      </c>
      <c r="C9" s="3">
        <v>40</v>
      </c>
    </row>
    <row r="10" spans="1:3" x14ac:dyDescent="0.3">
      <c r="A10" s="32"/>
      <c r="B10" s="3">
        <v>18</v>
      </c>
      <c r="C10" s="3">
        <v>35</v>
      </c>
    </row>
    <row r="11" spans="1:3" x14ac:dyDescent="0.3">
      <c r="A11" s="32"/>
      <c r="B11" s="3">
        <v>30</v>
      </c>
      <c r="C11" s="3">
        <v>34</v>
      </c>
    </row>
    <row r="12" spans="1:3" x14ac:dyDescent="0.3">
      <c r="A12" s="32"/>
      <c r="B12" s="3">
        <v>50</v>
      </c>
      <c r="C12" s="3">
        <v>41</v>
      </c>
    </row>
    <row r="13" spans="1:3" x14ac:dyDescent="0.3">
      <c r="A13" s="32"/>
      <c r="B13" s="3">
        <v>0</v>
      </c>
      <c r="C13" s="3">
        <v>42</v>
      </c>
    </row>
    <row r="14" spans="1:3" x14ac:dyDescent="0.3">
      <c r="A14" s="32"/>
      <c r="B14" s="3">
        <v>49</v>
      </c>
      <c r="C14" s="3">
        <v>37</v>
      </c>
    </row>
    <row r="15" spans="1:3" x14ac:dyDescent="0.3">
      <c r="A15" s="32"/>
      <c r="B15" s="3">
        <v>9</v>
      </c>
      <c r="C15" s="3">
        <v>38</v>
      </c>
    </row>
    <row r="16" spans="1:3" x14ac:dyDescent="0.3">
      <c r="A16" s="32"/>
      <c r="B16" s="3">
        <v>0</v>
      </c>
      <c r="C16" s="3">
        <v>0</v>
      </c>
    </row>
    <row r="17" spans="1:3" x14ac:dyDescent="0.3">
      <c r="A17" s="32"/>
      <c r="B17" s="3">
        <v>30</v>
      </c>
      <c r="C17" s="3">
        <v>31</v>
      </c>
    </row>
    <row r="18" spans="1:3" x14ac:dyDescent="0.3">
      <c r="A18" s="32"/>
      <c r="B18" s="3">
        <v>87</v>
      </c>
      <c r="C18" s="3">
        <v>48</v>
      </c>
    </row>
    <row r="19" spans="1:3" x14ac:dyDescent="0.3">
      <c r="A19" s="32"/>
      <c r="B19" s="3">
        <v>0</v>
      </c>
      <c r="C19" s="3">
        <v>0</v>
      </c>
    </row>
    <row r="20" spans="1:3" x14ac:dyDescent="0.3">
      <c r="A20" s="32"/>
      <c r="B20" s="3">
        <v>16</v>
      </c>
      <c r="C20" s="3">
        <v>42</v>
      </c>
    </row>
    <row r="21" spans="1:3" x14ac:dyDescent="0.3">
      <c r="A21" s="32"/>
      <c r="B21" s="3">
        <v>34</v>
      </c>
      <c r="C21" s="3">
        <v>41</v>
      </c>
    </row>
    <row r="22" spans="1:3" x14ac:dyDescent="0.3">
      <c r="A22" s="32"/>
      <c r="B22" s="3">
        <v>80</v>
      </c>
      <c r="C22" s="3">
        <v>21</v>
      </c>
    </row>
    <row r="23" spans="1:3" x14ac:dyDescent="0.3">
      <c r="A23" s="32"/>
      <c r="B23" s="3">
        <v>3</v>
      </c>
      <c r="C23" s="3">
        <v>50</v>
      </c>
    </row>
    <row r="24" spans="1:3" x14ac:dyDescent="0.3">
      <c r="A24" s="32"/>
      <c r="B24" s="3">
        <v>35</v>
      </c>
      <c r="C24" s="3">
        <v>47</v>
      </c>
    </row>
    <row r="25" spans="1:3" x14ac:dyDescent="0.3">
      <c r="A25" s="32"/>
      <c r="B25" s="3">
        <v>66</v>
      </c>
      <c r="C25" s="3">
        <v>32</v>
      </c>
    </row>
    <row r="26" spans="1:3" x14ac:dyDescent="0.3">
      <c r="A26" s="32"/>
      <c r="B26" s="3">
        <v>52</v>
      </c>
      <c r="C26" s="3">
        <v>40</v>
      </c>
    </row>
    <row r="27" spans="1:3" x14ac:dyDescent="0.3">
      <c r="A27" s="32"/>
      <c r="B27" s="3">
        <v>72</v>
      </c>
      <c r="C27" s="3">
        <v>32</v>
      </c>
    </row>
    <row r="28" spans="1:3" x14ac:dyDescent="0.3">
      <c r="A28" s="32"/>
      <c r="B28" s="3">
        <v>68</v>
      </c>
      <c r="C28" s="3">
        <v>25</v>
      </c>
    </row>
    <row r="29" spans="1:3" x14ac:dyDescent="0.3">
      <c r="A29" s="32"/>
      <c r="B29" s="3">
        <v>84</v>
      </c>
      <c r="C29" s="3">
        <v>47</v>
      </c>
    </row>
    <row r="30" spans="1:3" x14ac:dyDescent="0.3">
      <c r="A30" s="32"/>
      <c r="B30" s="3">
        <v>52</v>
      </c>
      <c r="C30" s="3">
        <v>34</v>
      </c>
    </row>
    <row r="31" spans="1:3" x14ac:dyDescent="0.3">
      <c r="A31" s="32"/>
      <c r="B31" s="3">
        <v>40</v>
      </c>
      <c r="C31" s="3">
        <v>41</v>
      </c>
    </row>
    <row r="32" spans="1:3" x14ac:dyDescent="0.3">
      <c r="A32" s="32"/>
      <c r="B32" s="3">
        <v>0</v>
      </c>
      <c r="C32" s="3">
        <v>40</v>
      </c>
    </row>
    <row r="33" spans="1:3" x14ac:dyDescent="0.3">
      <c r="A33" s="32"/>
      <c r="B33" s="3">
        <v>12</v>
      </c>
      <c r="C33" s="3">
        <v>31</v>
      </c>
    </row>
    <row r="34" spans="1:3" x14ac:dyDescent="0.3">
      <c r="A34" s="32"/>
      <c r="B34" s="3">
        <v>46</v>
      </c>
      <c r="C34" s="3">
        <v>31</v>
      </c>
    </row>
    <row r="35" spans="1:3" x14ac:dyDescent="0.3">
      <c r="A35" s="32"/>
      <c r="B35" s="3">
        <v>23</v>
      </c>
      <c r="C35" s="3">
        <v>28</v>
      </c>
    </row>
    <row r="36" spans="1:3" x14ac:dyDescent="0.3">
      <c r="A36" s="32"/>
      <c r="B36" s="3">
        <v>10</v>
      </c>
      <c r="C36" s="3">
        <v>42</v>
      </c>
    </row>
    <row r="37" spans="1:3" x14ac:dyDescent="0.3">
      <c r="A37" s="32"/>
      <c r="B37" s="3">
        <v>28</v>
      </c>
      <c r="C37" s="3">
        <v>32</v>
      </c>
    </row>
    <row r="38" spans="1:3" x14ac:dyDescent="0.3">
      <c r="A38" s="32"/>
      <c r="B38" s="3">
        <v>0</v>
      </c>
      <c r="C38" s="3">
        <v>39</v>
      </c>
    </row>
    <row r="39" spans="1:3" x14ac:dyDescent="0.3">
      <c r="A39" s="32"/>
      <c r="B39" s="3">
        <v>0</v>
      </c>
      <c r="C39" s="3">
        <v>43</v>
      </c>
    </row>
    <row r="40" spans="1:3" x14ac:dyDescent="0.3">
      <c r="A40" s="32"/>
      <c r="B40" s="3">
        <v>68</v>
      </c>
      <c r="C40" s="3">
        <v>39</v>
      </c>
    </row>
    <row r="41" spans="1:3" x14ac:dyDescent="0.3">
      <c r="A41" s="32"/>
      <c r="B41" s="3">
        <v>79</v>
      </c>
      <c r="C41" s="3">
        <v>33</v>
      </c>
    </row>
    <row r="42" spans="1:3" x14ac:dyDescent="0.3">
      <c r="A42" s="32"/>
      <c r="B42" s="3">
        <v>34</v>
      </c>
      <c r="C42" s="3">
        <v>42</v>
      </c>
    </row>
    <row r="43" spans="1:3" x14ac:dyDescent="0.3">
      <c r="A43" s="32"/>
      <c r="B43" s="3">
        <v>0</v>
      </c>
      <c r="C43" s="3">
        <v>37</v>
      </c>
    </row>
    <row r="44" spans="1:3" x14ac:dyDescent="0.3">
      <c r="A44" s="32"/>
      <c r="B44" s="3">
        <v>44</v>
      </c>
      <c r="C44" s="3">
        <v>41</v>
      </c>
    </row>
    <row r="45" spans="1:3" x14ac:dyDescent="0.3">
      <c r="A45" s="32"/>
      <c r="B45" s="3">
        <v>36</v>
      </c>
      <c r="C45" s="3">
        <v>33</v>
      </c>
    </row>
    <row r="46" spans="1:3" x14ac:dyDescent="0.3">
      <c r="A46" s="32"/>
      <c r="B46" s="3">
        <v>0</v>
      </c>
      <c r="C46" s="3">
        <v>42</v>
      </c>
    </row>
    <row r="47" spans="1:3" x14ac:dyDescent="0.3">
      <c r="A47" s="32"/>
      <c r="B47" s="3">
        <v>67</v>
      </c>
      <c r="C47" s="3">
        <v>37</v>
      </c>
    </row>
    <row r="48" spans="1:3" x14ac:dyDescent="0.3">
      <c r="A48" s="32"/>
      <c r="B48" s="3">
        <v>54</v>
      </c>
      <c r="C48" s="3">
        <v>0</v>
      </c>
    </row>
    <row r="49" spans="1:3" x14ac:dyDescent="0.3">
      <c r="A49" s="32"/>
      <c r="B49" s="3">
        <v>45</v>
      </c>
      <c r="C49" s="3">
        <v>43</v>
      </c>
    </row>
    <row r="50" spans="1:3" x14ac:dyDescent="0.3">
      <c r="A50" s="32"/>
      <c r="B50" s="3">
        <v>26</v>
      </c>
      <c r="C50" s="3">
        <v>26</v>
      </c>
    </row>
    <row r="51" spans="1:3" x14ac:dyDescent="0.3">
      <c r="A51" s="32"/>
      <c r="B51" s="3">
        <v>55</v>
      </c>
      <c r="C51" s="3">
        <v>34</v>
      </c>
    </row>
    <row r="52" spans="1:3" x14ac:dyDescent="0.3">
      <c r="A52" s="32"/>
      <c r="B52" s="3">
        <v>27</v>
      </c>
      <c r="C52" s="3">
        <v>35</v>
      </c>
    </row>
    <row r="53" spans="1:3" x14ac:dyDescent="0.3">
      <c r="A53" s="32"/>
      <c r="B53" s="3">
        <v>18</v>
      </c>
      <c r="C53" s="3">
        <v>34</v>
      </c>
    </row>
    <row r="54" spans="1:3" x14ac:dyDescent="0.3">
      <c r="A54" s="32"/>
      <c r="B54" s="3">
        <v>87</v>
      </c>
      <c r="C54" s="3">
        <v>50</v>
      </c>
    </row>
    <row r="55" spans="1:3" x14ac:dyDescent="0.3">
      <c r="A55" s="32"/>
      <c r="B55" s="3">
        <v>81</v>
      </c>
      <c r="C55" s="3">
        <v>29</v>
      </c>
    </row>
    <row r="56" spans="1:3" x14ac:dyDescent="0.3">
      <c r="A56" s="32"/>
      <c r="B56" s="3">
        <v>60</v>
      </c>
      <c r="C56" s="3">
        <v>33</v>
      </c>
    </row>
    <row r="57" spans="1:3" x14ac:dyDescent="0.3">
      <c r="A57" s="32"/>
      <c r="B57" s="3">
        <v>42</v>
      </c>
      <c r="C57" s="3">
        <v>32</v>
      </c>
    </row>
    <row r="58" spans="1:3" x14ac:dyDescent="0.3">
      <c r="A58" s="32"/>
      <c r="B58" s="3">
        <v>12</v>
      </c>
      <c r="C58" s="3">
        <v>37</v>
      </c>
    </row>
    <row r="59" spans="1:3" x14ac:dyDescent="0.3">
      <c r="A59" s="32"/>
      <c r="B59" s="3">
        <v>26</v>
      </c>
      <c r="C59" s="3">
        <v>33</v>
      </c>
    </row>
    <row r="60" spans="1:3" x14ac:dyDescent="0.3">
      <c r="A60" s="32"/>
      <c r="B60" s="3">
        <v>30</v>
      </c>
      <c r="C60" s="3">
        <v>37</v>
      </c>
    </row>
    <row r="61" spans="1:3" x14ac:dyDescent="0.3">
      <c r="A61" s="32"/>
      <c r="B61" s="3">
        <v>18</v>
      </c>
      <c r="C61" s="3">
        <v>32</v>
      </c>
    </row>
    <row r="62" spans="1:3" x14ac:dyDescent="0.3">
      <c r="A62" s="32"/>
      <c r="B62" s="3">
        <v>50</v>
      </c>
      <c r="C62" s="3">
        <v>41</v>
      </c>
    </row>
    <row r="63" spans="1:3" x14ac:dyDescent="0.3">
      <c r="A63" s="32"/>
      <c r="B63" s="3">
        <v>40</v>
      </c>
      <c r="C63" s="3">
        <v>42</v>
      </c>
    </row>
    <row r="64" spans="1:3" x14ac:dyDescent="0.3">
      <c r="A64" s="32"/>
      <c r="B64" s="3">
        <v>88</v>
      </c>
      <c r="C64" s="3">
        <v>31</v>
      </c>
    </row>
    <row r="65" spans="1:3" x14ac:dyDescent="0.3">
      <c r="A65" s="32"/>
      <c r="B65" s="3">
        <v>32</v>
      </c>
      <c r="C65" s="3">
        <v>38</v>
      </c>
    </row>
    <row r="66" spans="1:3" x14ac:dyDescent="0.3">
      <c r="A66" s="32"/>
      <c r="B66" s="3">
        <v>53</v>
      </c>
      <c r="C66" s="3">
        <v>43</v>
      </c>
    </row>
    <row r="67" spans="1:3" x14ac:dyDescent="0.3">
      <c r="A67" s="32"/>
      <c r="B67" s="3">
        <v>23</v>
      </c>
      <c r="C67" s="3">
        <v>34</v>
      </c>
    </row>
    <row r="68" spans="1:3" x14ac:dyDescent="0.3">
      <c r="A68" s="32"/>
      <c r="B68" s="3">
        <v>83</v>
      </c>
      <c r="C68" s="3">
        <v>45</v>
      </c>
    </row>
    <row r="69" spans="1:3" x14ac:dyDescent="0.3">
      <c r="A69" s="32"/>
      <c r="B69" s="3">
        <v>54</v>
      </c>
      <c r="C69" s="3">
        <v>25</v>
      </c>
    </row>
    <row r="70" spans="1:3" x14ac:dyDescent="0.3">
      <c r="A70" s="32"/>
      <c r="B70" s="3">
        <v>37</v>
      </c>
      <c r="C70" s="3">
        <v>36</v>
      </c>
    </row>
    <row r="71" spans="1:3" x14ac:dyDescent="0.3">
      <c r="A71" s="32"/>
      <c r="B71" s="3">
        <v>54</v>
      </c>
      <c r="C71" s="3">
        <v>43</v>
      </c>
    </row>
    <row r="72" spans="1:3" x14ac:dyDescent="0.3">
      <c r="A72" s="32"/>
      <c r="B72" s="3">
        <v>58</v>
      </c>
      <c r="C72" s="3">
        <v>37</v>
      </c>
    </row>
    <row r="73" spans="1:3" x14ac:dyDescent="0.3">
      <c r="A73" s="32"/>
      <c r="B73" s="3">
        <v>94</v>
      </c>
      <c r="C73" s="3">
        <v>31</v>
      </c>
    </row>
    <row r="74" spans="1:3" x14ac:dyDescent="0.3">
      <c r="A74" s="32"/>
      <c r="B74" s="3">
        <v>86</v>
      </c>
      <c r="C74" s="3">
        <v>42</v>
      </c>
    </row>
    <row r="75" spans="1:3" x14ac:dyDescent="0.3">
      <c r="A75" s="32"/>
      <c r="B75" s="3">
        <v>22</v>
      </c>
      <c r="C75" s="3">
        <v>44</v>
      </c>
    </row>
    <row r="76" spans="1:3" x14ac:dyDescent="0.3">
      <c r="A76" s="32"/>
      <c r="B76" s="3">
        <v>74</v>
      </c>
      <c r="C76" s="3">
        <v>44</v>
      </c>
    </row>
    <row r="77" spans="1:3" x14ac:dyDescent="0.3">
      <c r="A77" s="32"/>
      <c r="B77" s="3">
        <v>45</v>
      </c>
      <c r="C77" s="3">
        <v>36</v>
      </c>
    </row>
    <row r="78" spans="1:3" x14ac:dyDescent="0.3">
      <c r="A78" s="32"/>
      <c r="B78" s="3">
        <v>45</v>
      </c>
      <c r="C78" s="3">
        <v>34</v>
      </c>
    </row>
    <row r="79" spans="1:3" x14ac:dyDescent="0.3">
      <c r="A79" s="32"/>
      <c r="B79" s="3">
        <v>61</v>
      </c>
      <c r="C79" s="3">
        <v>36</v>
      </c>
    </row>
    <row r="80" spans="1:3" x14ac:dyDescent="0.3">
      <c r="A80" s="32"/>
      <c r="B80" s="3">
        <v>84</v>
      </c>
      <c r="C80" s="3">
        <v>39</v>
      </c>
    </row>
    <row r="81" spans="1:3" x14ac:dyDescent="0.3">
      <c r="A81" s="32"/>
      <c r="B81" s="3">
        <v>42</v>
      </c>
      <c r="C81" s="3">
        <v>45</v>
      </c>
    </row>
    <row r="82" spans="1:3" x14ac:dyDescent="0.3">
      <c r="A82" s="32"/>
      <c r="B82" s="3">
        <v>64</v>
      </c>
      <c r="C82" s="3">
        <v>43.5</v>
      </c>
    </row>
    <row r="83" spans="1:3" x14ac:dyDescent="0.3">
      <c r="A83" s="32"/>
      <c r="B83" s="3">
        <v>67</v>
      </c>
      <c r="C83" s="3">
        <v>45</v>
      </c>
    </row>
    <row r="84" spans="1:3" x14ac:dyDescent="0.3">
      <c r="A84" s="32"/>
      <c r="B84" s="3">
        <v>40</v>
      </c>
      <c r="C84" s="3">
        <v>43</v>
      </c>
    </row>
    <row r="85" spans="1:3" x14ac:dyDescent="0.3">
      <c r="A85" s="32"/>
      <c r="B85" s="3">
        <v>83</v>
      </c>
      <c r="C85" s="3">
        <v>48</v>
      </c>
    </row>
    <row r="86" spans="1:3" x14ac:dyDescent="0.3">
      <c r="A86" s="32"/>
      <c r="B86" s="3">
        <v>15</v>
      </c>
      <c r="C86" s="3">
        <v>25</v>
      </c>
    </row>
    <row r="87" spans="1:3" x14ac:dyDescent="0.3">
      <c r="A87" s="32"/>
      <c r="B87" s="3">
        <v>76</v>
      </c>
      <c r="C87" s="3">
        <v>42</v>
      </c>
    </row>
    <row r="88" spans="1:3" x14ac:dyDescent="0.3">
      <c r="A88" s="32"/>
      <c r="B88" s="3">
        <v>30</v>
      </c>
      <c r="C88" s="3">
        <v>40</v>
      </c>
    </row>
    <row r="89" spans="1:3" x14ac:dyDescent="0.3">
      <c r="A89" s="32"/>
      <c r="B89" s="3">
        <v>18</v>
      </c>
      <c r="C89" s="3">
        <v>24</v>
      </c>
    </row>
    <row r="90" spans="1:3" x14ac:dyDescent="0.3">
      <c r="A90" s="32"/>
      <c r="B90" s="3">
        <v>59</v>
      </c>
      <c r="C90" s="3">
        <v>41</v>
      </c>
    </row>
    <row r="91" spans="1:3" x14ac:dyDescent="0.3">
      <c r="A91" s="32"/>
      <c r="B91" s="3">
        <v>59</v>
      </c>
      <c r="C91" s="3">
        <v>43</v>
      </c>
    </row>
    <row r="92" spans="1:3" x14ac:dyDescent="0.3">
      <c r="A92" s="32"/>
      <c r="B92" s="3">
        <v>72</v>
      </c>
      <c r="C92" s="3">
        <v>44</v>
      </c>
    </row>
    <row r="93" spans="1:3" x14ac:dyDescent="0.3">
      <c r="A93" s="32"/>
      <c r="B93" s="3">
        <v>40</v>
      </c>
      <c r="C93" s="3">
        <v>29</v>
      </c>
    </row>
    <row r="94" spans="1:3" x14ac:dyDescent="0.3">
      <c r="A94" s="32"/>
      <c r="B94" s="3">
        <v>76</v>
      </c>
      <c r="C94" s="3">
        <v>46</v>
      </c>
    </row>
    <row r="95" spans="1:3" x14ac:dyDescent="0.3">
      <c r="A95" s="32"/>
      <c r="B95" s="3">
        <v>23</v>
      </c>
      <c r="C95" s="3">
        <v>47</v>
      </c>
    </row>
    <row r="96" spans="1:3" x14ac:dyDescent="0.3">
      <c r="A96" s="32"/>
      <c r="B96" s="3">
        <v>37</v>
      </c>
      <c r="C96" s="3">
        <v>37</v>
      </c>
    </row>
    <row r="97" spans="1:3" x14ac:dyDescent="0.3">
      <c r="A97" s="32"/>
      <c r="B97" s="3">
        <v>66</v>
      </c>
      <c r="C97" s="3">
        <v>42</v>
      </c>
    </row>
    <row r="98" spans="1:3" x14ac:dyDescent="0.3">
      <c r="B98" s="3">
        <v>25</v>
      </c>
      <c r="C98" s="3">
        <v>46</v>
      </c>
    </row>
    <row r="99" spans="1:3" x14ac:dyDescent="0.3">
      <c r="B99" s="3">
        <v>85</v>
      </c>
      <c r="C99" s="3">
        <v>39</v>
      </c>
    </row>
    <row r="100" spans="1:3" x14ac:dyDescent="0.3">
      <c r="B100" s="3">
        <v>56</v>
      </c>
      <c r="C100" s="3">
        <v>27</v>
      </c>
    </row>
    <row r="101" spans="1:3" x14ac:dyDescent="0.3">
      <c r="B101" s="3">
        <v>85</v>
      </c>
      <c r="C101" s="3">
        <v>36</v>
      </c>
    </row>
    <row r="102" spans="1:3" x14ac:dyDescent="0.3">
      <c r="B102" s="3">
        <v>76</v>
      </c>
      <c r="C102" s="3">
        <v>32</v>
      </c>
    </row>
    <row r="103" spans="1:3" x14ac:dyDescent="0.3">
      <c r="B103" s="3">
        <v>30</v>
      </c>
      <c r="C103" s="3">
        <v>45</v>
      </c>
    </row>
    <row r="104" spans="1:3" x14ac:dyDescent="0.3">
      <c r="B104" s="3">
        <v>58</v>
      </c>
      <c r="C104" s="3">
        <v>30</v>
      </c>
    </row>
    <row r="105" spans="1:3" x14ac:dyDescent="0.3">
      <c r="B105" s="3">
        <v>45</v>
      </c>
      <c r="C105" s="3">
        <v>32</v>
      </c>
    </row>
    <row r="106" spans="1:3" x14ac:dyDescent="0.3">
      <c r="B106" s="3">
        <v>23</v>
      </c>
      <c r="C106" s="3">
        <v>40</v>
      </c>
    </row>
    <row r="107" spans="1:3" x14ac:dyDescent="0.3">
      <c r="B107" s="3">
        <v>83</v>
      </c>
      <c r="C107" s="3">
        <v>33</v>
      </c>
    </row>
    <row r="108" spans="1:3" x14ac:dyDescent="0.3">
      <c r="B108" s="3">
        <v>32</v>
      </c>
      <c r="C108" s="3">
        <v>33</v>
      </c>
    </row>
    <row r="109" spans="1:3" x14ac:dyDescent="0.3">
      <c r="B109" s="3">
        <v>85</v>
      </c>
      <c r="C109" s="3">
        <v>44</v>
      </c>
    </row>
    <row r="110" spans="1:3" x14ac:dyDescent="0.3">
      <c r="B110" s="3">
        <v>99</v>
      </c>
      <c r="C110" s="3">
        <v>45</v>
      </c>
    </row>
    <row r="111" spans="1:3" x14ac:dyDescent="0.3">
      <c r="B111" s="3">
        <v>68</v>
      </c>
      <c r="C111" s="3">
        <v>37</v>
      </c>
    </row>
    <row r="112" spans="1:3" x14ac:dyDescent="0.3">
      <c r="B112" s="3">
        <v>76</v>
      </c>
      <c r="C112" s="3">
        <v>46</v>
      </c>
    </row>
    <row r="113" spans="2:3" x14ac:dyDescent="0.3">
      <c r="B113" s="3">
        <v>85</v>
      </c>
      <c r="C113" s="3">
        <v>47</v>
      </c>
    </row>
    <row r="114" spans="2:3" x14ac:dyDescent="0.3">
      <c r="B114" s="3">
        <v>72</v>
      </c>
      <c r="C114" s="3">
        <v>42</v>
      </c>
    </row>
    <row r="115" spans="2:3" x14ac:dyDescent="0.3">
      <c r="B115" s="3">
        <v>50</v>
      </c>
      <c r="C115" s="3">
        <v>43</v>
      </c>
    </row>
    <row r="116" spans="2:3" x14ac:dyDescent="0.3">
      <c r="B116" s="3">
        <v>43</v>
      </c>
      <c r="C116" s="3">
        <v>36</v>
      </c>
    </row>
    <row r="117" spans="2:3" x14ac:dyDescent="0.3">
      <c r="B117" s="3">
        <v>75</v>
      </c>
      <c r="C117" s="3">
        <v>41</v>
      </c>
    </row>
    <row r="118" spans="2:3" x14ac:dyDescent="0.3">
      <c r="B118" s="3">
        <v>66</v>
      </c>
      <c r="C118" s="3">
        <v>39</v>
      </c>
    </row>
    <row r="119" spans="2:3" x14ac:dyDescent="0.3">
      <c r="B119" s="3">
        <v>90</v>
      </c>
      <c r="C119" s="3">
        <v>42</v>
      </c>
    </row>
    <row r="120" spans="2:3" x14ac:dyDescent="0.3">
      <c r="B120" s="3">
        <v>41</v>
      </c>
      <c r="C120" s="3">
        <v>39</v>
      </c>
    </row>
    <row r="121" spans="2:3" x14ac:dyDescent="0.3">
      <c r="B121" s="3">
        <v>88</v>
      </c>
      <c r="C121" s="3">
        <v>40</v>
      </c>
    </row>
    <row r="122" spans="2:3" x14ac:dyDescent="0.3">
      <c r="B122" s="3">
        <v>34</v>
      </c>
      <c r="C122" s="3">
        <v>33</v>
      </c>
    </row>
    <row r="123" spans="2:3" x14ac:dyDescent="0.3">
      <c r="B123" s="3">
        <v>98</v>
      </c>
      <c r="C123" s="3">
        <v>44</v>
      </c>
    </row>
    <row r="124" spans="2:3" x14ac:dyDescent="0.3">
      <c r="B124" s="3">
        <v>83</v>
      </c>
      <c r="C124" s="3">
        <v>47</v>
      </c>
    </row>
    <row r="125" spans="2:3" x14ac:dyDescent="0.3">
      <c r="B125" s="3">
        <v>37</v>
      </c>
      <c r="C125" s="3">
        <v>45</v>
      </c>
    </row>
    <row r="126" spans="2:3" x14ac:dyDescent="0.3">
      <c r="B126" s="3">
        <v>55</v>
      </c>
      <c r="C126" s="3">
        <v>49</v>
      </c>
    </row>
    <row r="127" spans="2:3" x14ac:dyDescent="0.3">
      <c r="B127" s="3">
        <v>42</v>
      </c>
      <c r="C127" s="3">
        <v>35</v>
      </c>
    </row>
    <row r="128" spans="2:3" x14ac:dyDescent="0.3">
      <c r="B128" s="3">
        <v>40</v>
      </c>
      <c r="C128" s="3">
        <v>42</v>
      </c>
    </row>
    <row r="129" spans="2:3" x14ac:dyDescent="0.3">
      <c r="B129" s="3">
        <v>33</v>
      </c>
      <c r="C129" s="3">
        <v>39</v>
      </c>
    </row>
    <row r="130" spans="2:3" x14ac:dyDescent="0.3">
      <c r="B130" s="3">
        <v>44</v>
      </c>
      <c r="C130" s="3">
        <v>41</v>
      </c>
    </row>
    <row r="131" spans="2:3" x14ac:dyDescent="0.3">
      <c r="B131" s="3">
        <v>63</v>
      </c>
      <c r="C131" s="3">
        <v>39</v>
      </c>
    </row>
    <row r="132" spans="2:3" x14ac:dyDescent="0.3">
      <c r="B132" s="3">
        <v>63</v>
      </c>
      <c r="C132" s="3">
        <v>35</v>
      </c>
    </row>
    <row r="133" spans="2:3" x14ac:dyDescent="0.3">
      <c r="B133" s="3">
        <v>35</v>
      </c>
      <c r="C133" s="3">
        <v>35</v>
      </c>
    </row>
    <row r="134" spans="2:3" x14ac:dyDescent="0.3">
      <c r="B134" s="3">
        <v>79</v>
      </c>
      <c r="C134" s="3">
        <v>45</v>
      </c>
    </row>
    <row r="135" spans="2:3" x14ac:dyDescent="0.3">
      <c r="B135" s="3">
        <v>44</v>
      </c>
      <c r="C135" s="3">
        <v>40</v>
      </c>
    </row>
    <row r="136" spans="2:3" x14ac:dyDescent="0.3">
      <c r="B136" s="3">
        <v>86</v>
      </c>
      <c r="C136" s="3">
        <v>41</v>
      </c>
    </row>
    <row r="137" spans="2:3" x14ac:dyDescent="0.3">
      <c r="B137" s="3">
        <v>48</v>
      </c>
      <c r="C137" s="3">
        <v>41</v>
      </c>
    </row>
    <row r="138" spans="2:3" x14ac:dyDescent="0.3">
      <c r="B138" s="3">
        <v>24</v>
      </c>
      <c r="C138" s="3">
        <v>28</v>
      </c>
    </row>
    <row r="139" spans="2:3" x14ac:dyDescent="0.3">
      <c r="B139" s="3">
        <v>27</v>
      </c>
      <c r="C139" s="3">
        <v>34</v>
      </c>
    </row>
    <row r="140" spans="2:3" x14ac:dyDescent="0.3">
      <c r="B140" s="3">
        <v>84</v>
      </c>
      <c r="C140" s="3">
        <v>49</v>
      </c>
    </row>
    <row r="141" spans="2:3" x14ac:dyDescent="0.3">
      <c r="B141" s="3">
        <v>80</v>
      </c>
      <c r="C141" s="3">
        <v>40</v>
      </c>
    </row>
    <row r="142" spans="2:3" x14ac:dyDescent="0.3">
      <c r="B142" s="3">
        <v>46</v>
      </c>
      <c r="C142" s="3">
        <v>32</v>
      </c>
    </row>
    <row r="143" spans="2:3" x14ac:dyDescent="0.3">
      <c r="B143" s="3">
        <v>34</v>
      </c>
      <c r="C143" s="3">
        <v>36</v>
      </c>
    </row>
    <row r="144" spans="2:3" x14ac:dyDescent="0.3">
      <c r="B144" s="3">
        <v>92</v>
      </c>
      <c r="C144" s="3">
        <v>46</v>
      </c>
    </row>
    <row r="145" spans="2:3" x14ac:dyDescent="0.3">
      <c r="B145" s="3">
        <v>66</v>
      </c>
      <c r="C145" s="3">
        <v>39</v>
      </c>
    </row>
    <row r="146" spans="2:3" x14ac:dyDescent="0.3">
      <c r="B146" s="3">
        <v>60</v>
      </c>
      <c r="C146" s="3">
        <v>37</v>
      </c>
    </row>
    <row r="147" spans="2:3" x14ac:dyDescent="0.3">
      <c r="B147" s="3">
        <v>94</v>
      </c>
      <c r="C147" s="3">
        <v>43</v>
      </c>
    </row>
    <row r="148" spans="2:3" x14ac:dyDescent="0.3">
      <c r="B148" s="3">
        <v>98</v>
      </c>
      <c r="C148" s="3">
        <v>44</v>
      </c>
    </row>
    <row r="149" spans="2:3" x14ac:dyDescent="0.3">
      <c r="B149" s="3">
        <v>60</v>
      </c>
      <c r="C149" s="3">
        <v>42</v>
      </c>
    </row>
    <row r="150" spans="2:3" x14ac:dyDescent="0.3">
      <c r="B150" s="3">
        <v>47</v>
      </c>
      <c r="C150" s="3">
        <v>40</v>
      </c>
    </row>
    <row r="151" spans="2:3" x14ac:dyDescent="0.3">
      <c r="B151" s="3">
        <v>48</v>
      </c>
      <c r="C151" s="3">
        <v>42</v>
      </c>
    </row>
    <row r="152" spans="2:3" x14ac:dyDescent="0.3">
      <c r="B152" s="3">
        <v>57</v>
      </c>
      <c r="C152" s="3">
        <v>34</v>
      </c>
    </row>
    <row r="153" spans="2:3" x14ac:dyDescent="0.3">
      <c r="B153" s="3">
        <v>59</v>
      </c>
      <c r="C153" s="3">
        <v>47</v>
      </c>
    </row>
    <row r="154" spans="2:3" x14ac:dyDescent="0.3">
      <c r="B154" s="3">
        <v>61</v>
      </c>
      <c r="C154" s="3">
        <v>37</v>
      </c>
    </row>
    <row r="155" spans="2:3" x14ac:dyDescent="0.3">
      <c r="B155" s="3">
        <v>79</v>
      </c>
      <c r="C155" s="3">
        <v>41</v>
      </c>
    </row>
    <row r="156" spans="2:3" x14ac:dyDescent="0.3">
      <c r="B156" s="3">
        <v>66</v>
      </c>
      <c r="C156" s="3">
        <v>41</v>
      </c>
    </row>
    <row r="157" spans="2:3" x14ac:dyDescent="0.3">
      <c r="B157" s="3">
        <v>67</v>
      </c>
      <c r="C157" s="3">
        <v>44</v>
      </c>
    </row>
    <row r="158" spans="2:3" x14ac:dyDescent="0.3">
      <c r="B158" s="3">
        <v>53</v>
      </c>
      <c r="C158" s="3">
        <v>36</v>
      </c>
    </row>
    <row r="159" spans="2:3" x14ac:dyDescent="0.3">
      <c r="B159" s="3">
        <v>86</v>
      </c>
      <c r="C159" s="3">
        <v>42</v>
      </c>
    </row>
    <row r="160" spans="2:3" x14ac:dyDescent="0.3">
      <c r="B160" s="3">
        <v>32</v>
      </c>
      <c r="C160" s="3">
        <v>46</v>
      </c>
    </row>
    <row r="161" spans="2:3" x14ac:dyDescent="0.3">
      <c r="B161" s="3">
        <v>27</v>
      </c>
      <c r="C161" s="3">
        <v>21</v>
      </c>
    </row>
    <row r="162" spans="2:3" x14ac:dyDescent="0.3">
      <c r="B162" s="3">
        <v>70</v>
      </c>
      <c r="C162" s="3">
        <v>38</v>
      </c>
    </row>
    <row r="163" spans="2:3" x14ac:dyDescent="0.3">
      <c r="B163" s="3">
        <v>65</v>
      </c>
      <c r="C163" s="3">
        <v>43</v>
      </c>
    </row>
    <row r="164" spans="2:3" x14ac:dyDescent="0.3">
      <c r="B164" s="3">
        <v>79</v>
      </c>
      <c r="C164" s="3">
        <v>42</v>
      </c>
    </row>
    <row r="165" spans="2:3" x14ac:dyDescent="0.3">
      <c r="B165" s="3">
        <v>89</v>
      </c>
      <c r="C165" s="3">
        <v>37</v>
      </c>
    </row>
    <row r="166" spans="2:3" x14ac:dyDescent="0.3">
      <c r="B166" s="3">
        <v>71</v>
      </c>
      <c r="C166" s="3">
        <v>46</v>
      </c>
    </row>
    <row r="167" spans="2:3" x14ac:dyDescent="0.3">
      <c r="B167" s="3">
        <v>65</v>
      </c>
      <c r="C167" s="3">
        <v>38</v>
      </c>
    </row>
    <row r="168" spans="2:3" x14ac:dyDescent="0.3">
      <c r="B168" s="3">
        <v>73</v>
      </c>
      <c r="C168" s="3">
        <v>39</v>
      </c>
    </row>
    <row r="169" spans="2:3" x14ac:dyDescent="0.3">
      <c r="B169" s="3">
        <v>55</v>
      </c>
      <c r="C169" s="3">
        <v>41</v>
      </c>
    </row>
    <row r="170" spans="2:3" x14ac:dyDescent="0.3">
      <c r="B170" s="3">
        <v>37</v>
      </c>
      <c r="C170" s="3">
        <v>39</v>
      </c>
    </row>
    <row r="171" spans="2:3" x14ac:dyDescent="0.3">
      <c r="B171" s="3">
        <v>89</v>
      </c>
      <c r="C171" s="3">
        <v>43</v>
      </c>
    </row>
    <row r="172" spans="2:3" x14ac:dyDescent="0.3">
      <c r="B172" s="3">
        <v>61</v>
      </c>
      <c r="C172" s="3">
        <v>44</v>
      </c>
    </row>
    <row r="173" spans="2:3" x14ac:dyDescent="0.3">
      <c r="B173" s="3">
        <v>68</v>
      </c>
      <c r="C173" s="3">
        <v>42</v>
      </c>
    </row>
    <row r="174" spans="2:3" x14ac:dyDescent="0.3">
      <c r="B174" s="3">
        <v>57</v>
      </c>
      <c r="C174" s="3">
        <v>42</v>
      </c>
    </row>
    <row r="175" spans="2:3" x14ac:dyDescent="0.3">
      <c r="B175" s="3">
        <v>74</v>
      </c>
      <c r="C175" s="3">
        <v>40</v>
      </c>
    </row>
    <row r="176" spans="2:3" x14ac:dyDescent="0.3">
      <c r="B176" s="3">
        <v>38</v>
      </c>
      <c r="C176" s="3">
        <v>33</v>
      </c>
    </row>
    <row r="177" spans="2:3" x14ac:dyDescent="0.3">
      <c r="B177" s="3">
        <v>78</v>
      </c>
      <c r="C177" s="3">
        <v>41</v>
      </c>
    </row>
    <row r="178" spans="2:3" x14ac:dyDescent="0.3">
      <c r="B178" s="3">
        <v>65</v>
      </c>
      <c r="C178" s="3">
        <v>38</v>
      </c>
    </row>
    <row r="179" spans="2:3" x14ac:dyDescent="0.3">
      <c r="B179" s="3">
        <v>80</v>
      </c>
      <c r="C179" s="3">
        <v>44</v>
      </c>
    </row>
    <row r="180" spans="2:3" x14ac:dyDescent="0.3">
      <c r="B180" s="3">
        <v>64</v>
      </c>
      <c r="C180" s="3">
        <v>43</v>
      </c>
    </row>
    <row r="181" spans="2:3" x14ac:dyDescent="0.3">
      <c r="B181" s="3">
        <v>60</v>
      </c>
      <c r="C181" s="3">
        <v>41</v>
      </c>
    </row>
    <row r="182" spans="2:3" x14ac:dyDescent="0.3">
      <c r="B182" s="3">
        <v>30</v>
      </c>
      <c r="C182" s="3">
        <v>36</v>
      </c>
    </row>
    <row r="183" spans="2:3" x14ac:dyDescent="0.3">
      <c r="B183" s="3">
        <v>91</v>
      </c>
      <c r="C183" s="3">
        <v>46</v>
      </c>
    </row>
    <row r="184" spans="2:3" x14ac:dyDescent="0.3">
      <c r="B184" s="3">
        <v>92</v>
      </c>
      <c r="C184" s="3">
        <v>47</v>
      </c>
    </row>
    <row r="185" spans="2:3" x14ac:dyDescent="0.3">
      <c r="B185" s="3">
        <v>0</v>
      </c>
      <c r="C185" s="3">
        <v>45</v>
      </c>
    </row>
    <row r="186" spans="2:3" x14ac:dyDescent="0.3">
      <c r="B186" s="3">
        <v>53</v>
      </c>
      <c r="C186" s="3">
        <v>38</v>
      </c>
    </row>
    <row r="187" spans="2:3" x14ac:dyDescent="0.3">
      <c r="B187" s="3">
        <v>36</v>
      </c>
      <c r="C187" s="3">
        <v>36</v>
      </c>
    </row>
    <row r="188" spans="2:3" x14ac:dyDescent="0.3">
      <c r="B188" s="3">
        <v>65</v>
      </c>
      <c r="C188" s="3">
        <v>30</v>
      </c>
    </row>
    <row r="189" spans="2:3" x14ac:dyDescent="0.3">
      <c r="B189" s="3">
        <v>26</v>
      </c>
      <c r="C189" s="3">
        <v>42</v>
      </c>
    </row>
    <row r="190" spans="2:3" x14ac:dyDescent="0.3">
      <c r="B190" s="3">
        <v>22</v>
      </c>
      <c r="C190" s="3">
        <v>42</v>
      </c>
    </row>
    <row r="191" spans="2:3" x14ac:dyDescent="0.3">
      <c r="B191" s="3">
        <v>67</v>
      </c>
      <c r="C191" s="3">
        <v>45</v>
      </c>
    </row>
    <row r="192" spans="2:3" x14ac:dyDescent="0.3">
      <c r="B192" s="3">
        <v>54</v>
      </c>
      <c r="C192" s="3">
        <v>40</v>
      </c>
    </row>
    <row r="193" spans="2:3" x14ac:dyDescent="0.3">
      <c r="B193" s="3">
        <v>70</v>
      </c>
      <c r="C193" s="3">
        <v>39</v>
      </c>
    </row>
    <row r="194" spans="2:3" x14ac:dyDescent="0.3">
      <c r="B194" s="3">
        <v>71</v>
      </c>
      <c r="C194" s="3">
        <v>41</v>
      </c>
    </row>
    <row r="195" spans="2:3" x14ac:dyDescent="0.3">
      <c r="B195" s="3">
        <v>83</v>
      </c>
      <c r="C195" s="3">
        <v>44</v>
      </c>
    </row>
    <row r="196" spans="2:3" x14ac:dyDescent="0.3">
      <c r="B196" s="3">
        <v>68</v>
      </c>
      <c r="C196" s="3">
        <v>43</v>
      </c>
    </row>
    <row r="197" spans="2:3" x14ac:dyDescent="0.3">
      <c r="B197" s="3">
        <v>51</v>
      </c>
      <c r="C197" s="3">
        <v>45</v>
      </c>
    </row>
    <row r="198" spans="2:3" x14ac:dyDescent="0.3">
      <c r="B198" s="3">
        <v>77</v>
      </c>
      <c r="C198" s="3">
        <v>35</v>
      </c>
    </row>
    <row r="199" spans="2:3" x14ac:dyDescent="0.3">
      <c r="B199" s="3">
        <v>18</v>
      </c>
      <c r="C199" s="3">
        <v>20</v>
      </c>
    </row>
    <row r="200" spans="2:3" x14ac:dyDescent="0.3">
      <c r="B200" s="3">
        <v>80</v>
      </c>
      <c r="C200" s="3">
        <v>38</v>
      </c>
    </row>
    <row r="201" spans="2:3" x14ac:dyDescent="0.3">
      <c r="B201" s="3">
        <v>79</v>
      </c>
      <c r="C201" s="3">
        <v>45</v>
      </c>
    </row>
    <row r="202" spans="2:3" x14ac:dyDescent="0.3">
      <c r="B202" s="3">
        <v>81</v>
      </c>
      <c r="C202" s="3">
        <v>43</v>
      </c>
    </row>
    <row r="203" spans="2:3" x14ac:dyDescent="0.3">
      <c r="B203" s="3">
        <v>50</v>
      </c>
      <c r="C203" s="3">
        <v>33</v>
      </c>
    </row>
    <row r="204" spans="2:3" x14ac:dyDescent="0.3">
      <c r="B204" s="3">
        <v>19</v>
      </c>
      <c r="C204" s="3">
        <v>36</v>
      </c>
    </row>
    <row r="205" spans="2:3" x14ac:dyDescent="0.3">
      <c r="B205" s="3">
        <v>40</v>
      </c>
      <c r="C205" s="3">
        <v>39.5</v>
      </c>
    </row>
    <row r="206" spans="2:3" x14ac:dyDescent="0.3">
      <c r="B206" s="3">
        <v>36</v>
      </c>
      <c r="C206" s="3">
        <v>42</v>
      </c>
    </row>
    <row r="207" spans="2:3" x14ac:dyDescent="0.3">
      <c r="B207" s="3">
        <v>44</v>
      </c>
      <c r="C207" s="3">
        <v>44</v>
      </c>
    </row>
    <row r="208" spans="2:3" x14ac:dyDescent="0.3">
      <c r="B208" s="3">
        <v>12</v>
      </c>
      <c r="C208" s="3">
        <v>27</v>
      </c>
    </row>
    <row r="209" spans="2:3" x14ac:dyDescent="0.3">
      <c r="B209" s="3">
        <v>7</v>
      </c>
      <c r="C209" s="3">
        <v>35</v>
      </c>
    </row>
    <row r="210" spans="2:3" x14ac:dyDescent="0.3">
      <c r="B210" s="3">
        <v>0</v>
      </c>
      <c r="C210" s="3">
        <v>0</v>
      </c>
    </row>
    <row r="211" spans="2:3" x14ac:dyDescent="0.3">
      <c r="B211" s="3">
        <v>36</v>
      </c>
      <c r="C211" s="3">
        <v>42</v>
      </c>
    </row>
    <row r="212" spans="2:3" x14ac:dyDescent="0.3">
      <c r="B212" s="3">
        <v>98</v>
      </c>
      <c r="C212" s="3">
        <v>50</v>
      </c>
    </row>
    <row r="213" spans="2:3" x14ac:dyDescent="0.3">
      <c r="B213" s="3">
        <v>100</v>
      </c>
      <c r="C213" s="3">
        <v>49</v>
      </c>
    </row>
    <row r="214" spans="2:3" x14ac:dyDescent="0.3">
      <c r="B214" s="3">
        <v>44</v>
      </c>
      <c r="C214" s="3">
        <v>44</v>
      </c>
    </row>
    <row r="215" spans="2:3" x14ac:dyDescent="0.3">
      <c r="B215" s="3">
        <v>91</v>
      </c>
      <c r="C215" s="3">
        <v>40</v>
      </c>
    </row>
    <row r="216" spans="2:3" x14ac:dyDescent="0.3">
      <c r="B216" s="3">
        <v>83</v>
      </c>
      <c r="C216" s="3">
        <v>45</v>
      </c>
    </row>
    <row r="217" spans="2:3" x14ac:dyDescent="0.3">
      <c r="B217" s="3">
        <v>51</v>
      </c>
      <c r="C217" s="3">
        <v>39</v>
      </c>
    </row>
    <row r="218" spans="2:3" x14ac:dyDescent="0.3">
      <c r="B218" s="3">
        <v>79</v>
      </c>
      <c r="C218" s="3">
        <v>34</v>
      </c>
    </row>
    <row r="219" spans="2:3" x14ac:dyDescent="0.3">
      <c r="B219" s="3">
        <v>92</v>
      </c>
      <c r="C219" s="3">
        <v>46</v>
      </c>
    </row>
    <row r="220" spans="2:3" x14ac:dyDescent="0.3">
      <c r="B220" s="3">
        <v>91</v>
      </c>
      <c r="C220" s="3">
        <v>36</v>
      </c>
    </row>
    <row r="221" spans="2:3" x14ac:dyDescent="0.3">
      <c r="B221" s="3">
        <v>58</v>
      </c>
      <c r="C221" s="3">
        <v>34</v>
      </c>
    </row>
    <row r="222" spans="2:3" x14ac:dyDescent="0.3">
      <c r="B222" s="3">
        <v>49</v>
      </c>
      <c r="C222" s="3">
        <v>47</v>
      </c>
    </row>
    <row r="223" spans="2:3" x14ac:dyDescent="0.3">
      <c r="B223" s="3">
        <v>37</v>
      </c>
      <c r="C223" s="3">
        <v>35</v>
      </c>
    </row>
    <row r="224" spans="2:3" x14ac:dyDescent="0.3">
      <c r="B224" s="3">
        <v>90</v>
      </c>
      <c r="C224" s="3">
        <v>45</v>
      </c>
    </row>
    <row r="225" spans="2:3" x14ac:dyDescent="0.3">
      <c r="B225" s="3">
        <v>62</v>
      </c>
      <c r="C225" s="3">
        <v>44</v>
      </c>
    </row>
    <row r="226" spans="2:3" x14ac:dyDescent="0.3">
      <c r="B226" s="3">
        <v>86</v>
      </c>
      <c r="C226" s="3">
        <v>41</v>
      </c>
    </row>
    <row r="227" spans="2:3" x14ac:dyDescent="0.3">
      <c r="B227" s="3">
        <v>51</v>
      </c>
      <c r="C227" s="3">
        <v>32</v>
      </c>
    </row>
    <row r="228" spans="2:3" x14ac:dyDescent="0.3">
      <c r="B228" s="3">
        <v>31</v>
      </c>
      <c r="C228" s="3">
        <v>32</v>
      </c>
    </row>
    <row r="229" spans="2:3" x14ac:dyDescent="0.3">
      <c r="B229" s="3">
        <v>9</v>
      </c>
      <c r="C229" s="3">
        <v>36</v>
      </c>
    </row>
    <row r="230" spans="2:3" x14ac:dyDescent="0.3">
      <c r="B230" s="3">
        <v>0</v>
      </c>
      <c r="C230" s="3">
        <v>41</v>
      </c>
    </row>
    <row r="231" spans="2:3" x14ac:dyDescent="0.3">
      <c r="B231" s="3">
        <v>91</v>
      </c>
      <c r="C231" s="3">
        <v>42</v>
      </c>
    </row>
    <row r="232" spans="2:3" x14ac:dyDescent="0.3">
      <c r="B232" s="3">
        <v>43</v>
      </c>
      <c r="C232" s="3">
        <v>35</v>
      </c>
    </row>
    <row r="233" spans="2:3" x14ac:dyDescent="0.3">
      <c r="B233" s="3">
        <v>82</v>
      </c>
      <c r="C233" s="3">
        <v>41</v>
      </c>
    </row>
    <row r="234" spans="2:3" x14ac:dyDescent="0.3">
      <c r="B234" s="3">
        <v>84</v>
      </c>
      <c r="C234" s="3">
        <v>46</v>
      </c>
    </row>
    <row r="235" spans="2:3" x14ac:dyDescent="0.3">
      <c r="B235" s="3">
        <v>98</v>
      </c>
      <c r="C235" s="3">
        <v>50</v>
      </c>
    </row>
    <row r="236" spans="2:3" x14ac:dyDescent="0.3">
      <c r="B236" s="3">
        <v>73</v>
      </c>
      <c r="C236" s="3">
        <v>48</v>
      </c>
    </row>
    <row r="237" spans="2:3" x14ac:dyDescent="0.3">
      <c r="B237" s="3">
        <v>54</v>
      </c>
      <c r="C237" s="3">
        <v>36</v>
      </c>
    </row>
    <row r="238" spans="2:3" x14ac:dyDescent="0.3">
      <c r="B238" s="3">
        <v>64</v>
      </c>
      <c r="C238" s="3">
        <v>46</v>
      </c>
    </row>
    <row r="239" spans="2:3" x14ac:dyDescent="0.3">
      <c r="B239" s="3">
        <v>33</v>
      </c>
      <c r="C239" s="3">
        <v>41</v>
      </c>
    </row>
    <row r="240" spans="2:3" x14ac:dyDescent="0.3">
      <c r="B240" s="3">
        <v>68</v>
      </c>
      <c r="C240" s="3">
        <v>35</v>
      </c>
    </row>
    <row r="241" spans="2:3" x14ac:dyDescent="0.3">
      <c r="B241" s="3">
        <v>62</v>
      </c>
      <c r="C241" s="3">
        <v>39</v>
      </c>
    </row>
    <row r="242" spans="2:3" x14ac:dyDescent="0.3">
      <c r="B242" s="3">
        <v>83</v>
      </c>
      <c r="C242" s="3">
        <v>45</v>
      </c>
    </row>
    <row r="243" spans="2:3" x14ac:dyDescent="0.3">
      <c r="B243" s="3">
        <v>36</v>
      </c>
      <c r="C243" s="3">
        <v>40</v>
      </c>
    </row>
    <row r="244" spans="2:3" x14ac:dyDescent="0.3">
      <c r="B244" s="3">
        <v>27</v>
      </c>
      <c r="C244" s="3">
        <v>27</v>
      </c>
    </row>
    <row r="245" spans="2:3" x14ac:dyDescent="0.3">
      <c r="B245" s="3">
        <v>90</v>
      </c>
      <c r="C245" s="3">
        <v>43</v>
      </c>
    </row>
    <row r="246" spans="2:3" x14ac:dyDescent="0.3">
      <c r="B246" s="3">
        <v>67</v>
      </c>
      <c r="C246" s="3">
        <v>40</v>
      </c>
    </row>
    <row r="247" spans="2:3" x14ac:dyDescent="0.3">
      <c r="B247" s="3">
        <v>83</v>
      </c>
      <c r="C247" s="3">
        <v>47</v>
      </c>
    </row>
    <row r="248" spans="2:3" x14ac:dyDescent="0.3">
      <c r="B248" s="3">
        <v>57</v>
      </c>
      <c r="C248" s="3">
        <v>20</v>
      </c>
    </row>
    <row r="249" spans="2:3" x14ac:dyDescent="0.3">
      <c r="B249" s="3">
        <v>75</v>
      </c>
      <c r="C249" s="3">
        <v>43</v>
      </c>
    </row>
    <row r="250" spans="2:3" x14ac:dyDescent="0.3">
      <c r="B250" s="3">
        <v>58</v>
      </c>
      <c r="C250" s="3">
        <v>41</v>
      </c>
    </row>
    <row r="251" spans="2:3" x14ac:dyDescent="0.3">
      <c r="B251" s="3">
        <v>32</v>
      </c>
      <c r="C251" s="3">
        <v>44</v>
      </c>
    </row>
    <row r="252" spans="2:3" x14ac:dyDescent="0.3">
      <c r="B252" s="3">
        <v>76</v>
      </c>
      <c r="C252" s="3">
        <v>46</v>
      </c>
    </row>
    <row r="253" spans="2:3" x14ac:dyDescent="0.3">
      <c r="B253" s="3">
        <v>51</v>
      </c>
      <c r="C253" s="3">
        <v>35</v>
      </c>
    </row>
    <row r="254" spans="2:3" x14ac:dyDescent="0.3">
      <c r="B254" s="3">
        <v>15</v>
      </c>
      <c r="C254" s="3">
        <v>45</v>
      </c>
    </row>
    <row r="255" spans="2:3" x14ac:dyDescent="0.3">
      <c r="B255" s="3">
        <v>71</v>
      </c>
      <c r="C255" s="3">
        <v>41</v>
      </c>
    </row>
    <row r="256" spans="2:3" x14ac:dyDescent="0.3">
      <c r="B256" s="3">
        <v>35</v>
      </c>
      <c r="C256" s="3">
        <v>28</v>
      </c>
    </row>
    <row r="257" spans="2:3" x14ac:dyDescent="0.3">
      <c r="B257" s="3">
        <v>58</v>
      </c>
      <c r="C257" s="3">
        <v>45</v>
      </c>
    </row>
    <row r="258" spans="2:3" x14ac:dyDescent="0.3">
      <c r="B258" s="3">
        <v>49</v>
      </c>
      <c r="C258" s="3">
        <v>45</v>
      </c>
    </row>
    <row r="259" spans="2:3" x14ac:dyDescent="0.3">
      <c r="B259" s="3">
        <v>43</v>
      </c>
      <c r="C259" s="3">
        <v>33</v>
      </c>
    </row>
    <row r="260" spans="2:3" x14ac:dyDescent="0.3">
      <c r="B260" s="3">
        <v>0</v>
      </c>
      <c r="C260" s="3">
        <v>0</v>
      </c>
    </row>
    <row r="261" spans="2:3" x14ac:dyDescent="0.3">
      <c r="B261" s="3">
        <v>70</v>
      </c>
      <c r="C261" s="3">
        <v>46</v>
      </c>
    </row>
    <row r="262" spans="2:3" x14ac:dyDescent="0.3">
      <c r="B262" s="3">
        <v>81</v>
      </c>
      <c r="C262" s="3">
        <v>34</v>
      </c>
    </row>
    <row r="263" spans="2:3" x14ac:dyDescent="0.3">
      <c r="B263" s="3">
        <v>12</v>
      </c>
      <c r="C263" s="3">
        <v>46</v>
      </c>
    </row>
    <row r="264" spans="2:3" x14ac:dyDescent="0.3">
      <c r="B264" s="3">
        <v>64</v>
      </c>
      <c r="C264" s="3">
        <v>38</v>
      </c>
    </row>
    <row r="265" spans="2:3" x14ac:dyDescent="0.3">
      <c r="B265" s="3">
        <v>89</v>
      </c>
      <c r="C265" s="3">
        <v>37</v>
      </c>
    </row>
    <row r="266" spans="2:3" x14ac:dyDescent="0.3">
      <c r="B266" s="3">
        <v>63</v>
      </c>
      <c r="C266" s="3">
        <v>42</v>
      </c>
    </row>
    <row r="267" spans="2:3" x14ac:dyDescent="0.3">
      <c r="B267" s="3">
        <v>55</v>
      </c>
      <c r="C267" s="3">
        <v>25</v>
      </c>
    </row>
    <row r="268" spans="2:3" x14ac:dyDescent="0.3">
      <c r="B268" s="3">
        <v>72</v>
      </c>
      <c r="C268" s="3">
        <v>40</v>
      </c>
    </row>
    <row r="269" spans="2:3" x14ac:dyDescent="0.3">
      <c r="B269" s="3">
        <v>68</v>
      </c>
      <c r="C269" s="3">
        <v>42</v>
      </c>
    </row>
    <row r="270" spans="2:3" x14ac:dyDescent="0.3">
      <c r="B270" s="3">
        <v>0</v>
      </c>
      <c r="C270" s="3">
        <v>0</v>
      </c>
    </row>
    <row r="271" spans="2:3" x14ac:dyDescent="0.3">
      <c r="B271" s="3">
        <v>94</v>
      </c>
      <c r="C271" s="3">
        <v>38</v>
      </c>
    </row>
    <row r="272" spans="2:3" x14ac:dyDescent="0.3">
      <c r="B272" s="3">
        <v>78</v>
      </c>
      <c r="C272" s="3">
        <v>41</v>
      </c>
    </row>
    <row r="273" spans="2:3" x14ac:dyDescent="0.3">
      <c r="B273" s="3">
        <v>56</v>
      </c>
      <c r="C273" s="3">
        <v>40</v>
      </c>
    </row>
    <row r="274" spans="2:3" x14ac:dyDescent="0.3">
      <c r="B274" s="3">
        <v>76</v>
      </c>
      <c r="C274" s="3">
        <v>44</v>
      </c>
    </row>
    <row r="275" spans="2:3" x14ac:dyDescent="0.3">
      <c r="B275" s="3">
        <v>83</v>
      </c>
      <c r="C275" s="3">
        <v>49</v>
      </c>
    </row>
    <row r="276" spans="2:3" x14ac:dyDescent="0.3">
      <c r="B276" s="3">
        <v>46</v>
      </c>
      <c r="C276" s="3">
        <v>34</v>
      </c>
    </row>
    <row r="277" spans="2:3" x14ac:dyDescent="0.3">
      <c r="B277" s="3">
        <v>90</v>
      </c>
      <c r="C277" s="3">
        <v>49</v>
      </c>
    </row>
    <row r="278" spans="2:3" x14ac:dyDescent="0.3">
      <c r="B278" s="3">
        <v>35</v>
      </c>
      <c r="C278" s="3">
        <v>30</v>
      </c>
    </row>
    <row r="279" spans="2:3" x14ac:dyDescent="0.3">
      <c r="B279" s="3">
        <v>78</v>
      </c>
      <c r="C279" s="3">
        <v>39</v>
      </c>
    </row>
    <row r="280" spans="2:3" x14ac:dyDescent="0.3">
      <c r="B280" s="3">
        <v>9</v>
      </c>
      <c r="C280" s="3">
        <v>0</v>
      </c>
    </row>
    <row r="281" spans="2:3" x14ac:dyDescent="0.3">
      <c r="B281" s="3">
        <v>94</v>
      </c>
      <c r="C281" s="3">
        <v>36</v>
      </c>
    </row>
    <row r="282" spans="2:3" x14ac:dyDescent="0.3">
      <c r="B282" s="3">
        <v>67</v>
      </c>
      <c r="C282" s="3">
        <v>44</v>
      </c>
    </row>
    <row r="283" spans="2:3" x14ac:dyDescent="0.3">
      <c r="B283" s="3">
        <v>80</v>
      </c>
      <c r="C283" s="3">
        <v>46</v>
      </c>
    </row>
    <row r="284" spans="2:3" x14ac:dyDescent="0.3">
      <c r="B284" s="3">
        <v>64</v>
      </c>
      <c r="C284" s="3">
        <v>35</v>
      </c>
    </row>
    <row r="285" spans="2:3" x14ac:dyDescent="0.3">
      <c r="B285" s="3">
        <v>30</v>
      </c>
      <c r="C285" s="3">
        <v>40</v>
      </c>
    </row>
    <row r="286" spans="2:3" x14ac:dyDescent="0.3">
      <c r="B286" s="3">
        <v>34</v>
      </c>
      <c r="C286" s="3">
        <v>43</v>
      </c>
    </row>
    <row r="287" spans="2:3" x14ac:dyDescent="0.3">
      <c r="B287" s="3">
        <v>89</v>
      </c>
      <c r="C287" s="3">
        <v>35</v>
      </c>
    </row>
    <row r="288" spans="2:3" x14ac:dyDescent="0.3">
      <c r="B288" s="3">
        <v>55</v>
      </c>
      <c r="C288" s="3">
        <v>41</v>
      </c>
    </row>
    <row r="289" spans="2:3" x14ac:dyDescent="0.3">
      <c r="B289" s="3">
        <v>91</v>
      </c>
      <c r="C289" s="3">
        <v>42</v>
      </c>
    </row>
    <row r="290" spans="2:3" x14ac:dyDescent="0.3">
      <c r="B290" s="3">
        <v>91</v>
      </c>
      <c r="C290" s="3">
        <v>41</v>
      </c>
    </row>
    <row r="291" spans="2:3" x14ac:dyDescent="0.3">
      <c r="B291" s="3">
        <v>42</v>
      </c>
      <c r="C291" s="3">
        <v>45</v>
      </c>
    </row>
    <row r="292" spans="2:3" x14ac:dyDescent="0.3">
      <c r="B292" s="3">
        <v>32</v>
      </c>
      <c r="C292" s="3">
        <v>47</v>
      </c>
    </row>
    <row r="293" spans="2:3" x14ac:dyDescent="0.3">
      <c r="B293" s="3">
        <v>0</v>
      </c>
      <c r="C293" s="3">
        <v>0</v>
      </c>
    </row>
    <row r="294" spans="2:3" x14ac:dyDescent="0.3">
      <c r="B294" s="3">
        <v>90</v>
      </c>
      <c r="C294" s="3">
        <v>42</v>
      </c>
    </row>
    <row r="295" spans="2:3" x14ac:dyDescent="0.3">
      <c r="B295" s="3">
        <v>50</v>
      </c>
      <c r="C295" s="3">
        <v>34</v>
      </c>
    </row>
    <row r="296" spans="2:3" x14ac:dyDescent="0.3">
      <c r="B296" s="3">
        <v>83</v>
      </c>
      <c r="C296" s="3">
        <v>40</v>
      </c>
    </row>
    <row r="297" spans="2:3" x14ac:dyDescent="0.3">
      <c r="B297" s="3">
        <v>97</v>
      </c>
      <c r="C297" s="3">
        <v>39</v>
      </c>
    </row>
    <row r="298" spans="2:3" x14ac:dyDescent="0.3">
      <c r="B298" s="3">
        <v>85</v>
      </c>
      <c r="C298" s="3">
        <v>38</v>
      </c>
    </row>
    <row r="299" spans="2:3" x14ac:dyDescent="0.3">
      <c r="B299" s="3">
        <v>62</v>
      </c>
      <c r="C299" s="3">
        <v>44</v>
      </c>
    </row>
    <row r="300" spans="2:3" x14ac:dyDescent="0.3">
      <c r="B300" s="3">
        <v>26</v>
      </c>
      <c r="C300" s="3">
        <v>43</v>
      </c>
    </row>
    <row r="301" spans="2:3" x14ac:dyDescent="0.3">
      <c r="B301" s="3">
        <v>37</v>
      </c>
      <c r="C301" s="3">
        <v>38</v>
      </c>
    </row>
    <row r="302" spans="2:3" x14ac:dyDescent="0.3">
      <c r="B302" s="3">
        <v>67</v>
      </c>
      <c r="C302" s="3">
        <v>29</v>
      </c>
    </row>
    <row r="303" spans="2:3" x14ac:dyDescent="0.3">
      <c r="B303" s="3">
        <v>96</v>
      </c>
      <c r="C303" s="3">
        <v>43</v>
      </c>
    </row>
    <row r="304" spans="2:3" x14ac:dyDescent="0.3">
      <c r="B304" s="3">
        <v>75</v>
      </c>
      <c r="C304" s="3">
        <v>50</v>
      </c>
    </row>
    <row r="305" spans="2:3" x14ac:dyDescent="0.3">
      <c r="B305" s="3">
        <v>98</v>
      </c>
      <c r="C305" s="3">
        <v>43</v>
      </c>
    </row>
    <row r="306" spans="2:3" x14ac:dyDescent="0.3">
      <c r="B306" s="3">
        <v>83</v>
      </c>
      <c r="C306" s="3">
        <v>41</v>
      </c>
    </row>
    <row r="307" spans="2:3" x14ac:dyDescent="0.3">
      <c r="B307" s="3">
        <v>51</v>
      </c>
      <c r="C307" s="3">
        <v>37</v>
      </c>
    </row>
    <row r="308" spans="2:3" x14ac:dyDescent="0.3">
      <c r="B308" s="3">
        <v>34</v>
      </c>
      <c r="C308" s="3">
        <v>36</v>
      </c>
    </row>
    <row r="309" spans="2:3" x14ac:dyDescent="0.3">
      <c r="B309" s="3">
        <v>0</v>
      </c>
      <c r="C309" s="3">
        <v>42</v>
      </c>
    </row>
    <row r="310" spans="2:3" x14ac:dyDescent="0.3">
      <c r="B310" s="3">
        <v>37</v>
      </c>
      <c r="C310" s="3">
        <v>40</v>
      </c>
    </row>
    <row r="311" spans="2:3" x14ac:dyDescent="0.3">
      <c r="B311" s="3">
        <v>92</v>
      </c>
      <c r="C311" s="3">
        <v>43</v>
      </c>
    </row>
    <row r="312" spans="2:3" x14ac:dyDescent="0.3">
      <c r="B312" s="3">
        <v>48</v>
      </c>
      <c r="C312" s="3">
        <v>35</v>
      </c>
    </row>
    <row r="313" spans="2:3" x14ac:dyDescent="0.3">
      <c r="B313" s="3">
        <v>27</v>
      </c>
      <c r="C313" s="3">
        <v>38</v>
      </c>
    </row>
    <row r="314" spans="2:3" x14ac:dyDescent="0.3">
      <c r="B314" s="3">
        <v>71</v>
      </c>
      <c r="C314" s="3">
        <v>34</v>
      </c>
    </row>
    <row r="315" spans="2:3" x14ac:dyDescent="0.3">
      <c r="B315" s="3">
        <v>15</v>
      </c>
      <c r="C315" s="3">
        <v>23</v>
      </c>
    </row>
    <row r="316" spans="2:3" x14ac:dyDescent="0.3">
      <c r="B316" s="3">
        <v>25</v>
      </c>
      <c r="C316" s="3">
        <v>37</v>
      </c>
    </row>
    <row r="317" spans="2:3" x14ac:dyDescent="0.3">
      <c r="B317" s="3">
        <v>95</v>
      </c>
      <c r="C317" s="3">
        <v>48</v>
      </c>
    </row>
    <row r="318" spans="2:3" x14ac:dyDescent="0.3">
      <c r="B318" s="3">
        <v>45</v>
      </c>
      <c r="C318" s="3">
        <v>36</v>
      </c>
    </row>
    <row r="319" spans="2:3" x14ac:dyDescent="0.3">
      <c r="B319" s="3">
        <v>42</v>
      </c>
      <c r="C319" s="3">
        <v>41</v>
      </c>
    </row>
    <row r="320" spans="2:3" x14ac:dyDescent="0.3">
      <c r="B320" s="3">
        <v>44</v>
      </c>
      <c r="C320" s="3">
        <v>39</v>
      </c>
    </row>
    <row r="321" spans="2:3" x14ac:dyDescent="0.3">
      <c r="B321" s="3">
        <v>67</v>
      </c>
      <c r="C321" s="3">
        <v>45</v>
      </c>
    </row>
    <row r="322" spans="2:3" x14ac:dyDescent="0.3">
      <c r="B322" s="3">
        <v>100</v>
      </c>
      <c r="C322" s="3">
        <v>49</v>
      </c>
    </row>
    <row r="323" spans="2:3" x14ac:dyDescent="0.3">
      <c r="B323" s="3">
        <v>90</v>
      </c>
      <c r="C323" s="3">
        <v>43</v>
      </c>
    </row>
    <row r="324" spans="2:3" x14ac:dyDescent="0.3">
      <c r="B324" s="3">
        <v>47</v>
      </c>
      <c r="C324" s="3">
        <v>32</v>
      </c>
    </row>
    <row r="325" spans="2:3" x14ac:dyDescent="0.3">
      <c r="B325" s="3">
        <v>85</v>
      </c>
      <c r="C325" s="3">
        <v>44</v>
      </c>
    </row>
    <row r="326" spans="2:3" x14ac:dyDescent="0.3">
      <c r="B326" s="3">
        <v>70</v>
      </c>
      <c r="C326" s="3">
        <v>23</v>
      </c>
    </row>
    <row r="327" spans="2:3" x14ac:dyDescent="0.3">
      <c r="B327" s="3">
        <v>43</v>
      </c>
      <c r="C327" s="3">
        <v>44</v>
      </c>
    </row>
    <row r="328" spans="2:3" x14ac:dyDescent="0.3">
      <c r="B328" s="3">
        <v>65</v>
      </c>
      <c r="C328" s="3">
        <v>43</v>
      </c>
    </row>
    <row r="329" spans="2:3" x14ac:dyDescent="0.3">
      <c r="B329" s="3">
        <v>46</v>
      </c>
      <c r="C329" s="3">
        <v>43</v>
      </c>
    </row>
    <row r="330" spans="2:3" x14ac:dyDescent="0.3">
      <c r="B330" s="3">
        <v>82</v>
      </c>
      <c r="C330" s="3">
        <v>43</v>
      </c>
    </row>
    <row r="331" spans="2:3" x14ac:dyDescent="0.3">
      <c r="B331" s="3">
        <v>92</v>
      </c>
      <c r="C331" s="3">
        <v>36</v>
      </c>
    </row>
    <row r="332" spans="2:3" x14ac:dyDescent="0.3">
      <c r="B332" s="3">
        <v>70</v>
      </c>
      <c r="C332" s="3">
        <v>44</v>
      </c>
    </row>
    <row r="333" spans="2:3" x14ac:dyDescent="0.3">
      <c r="B333" s="3">
        <v>79</v>
      </c>
      <c r="C333" s="3">
        <v>43</v>
      </c>
    </row>
    <row r="334" spans="2:3" x14ac:dyDescent="0.3">
      <c r="B334" s="3">
        <v>100</v>
      </c>
      <c r="C334" s="3">
        <v>47</v>
      </c>
    </row>
    <row r="335" spans="2:3" x14ac:dyDescent="0.3">
      <c r="B335" s="3">
        <v>100</v>
      </c>
      <c r="C335" s="3">
        <v>49</v>
      </c>
    </row>
    <row r="336" spans="2:3" x14ac:dyDescent="0.3">
      <c r="B336" s="3">
        <v>95</v>
      </c>
      <c r="C336" s="3">
        <v>42</v>
      </c>
    </row>
    <row r="337" spans="2:3" x14ac:dyDescent="0.3">
      <c r="B337" s="3">
        <v>37</v>
      </c>
      <c r="C337" s="3">
        <v>32</v>
      </c>
    </row>
    <row r="338" spans="2:3" x14ac:dyDescent="0.3">
      <c r="B338" s="3">
        <v>87</v>
      </c>
      <c r="C338" s="3">
        <v>37</v>
      </c>
    </row>
    <row r="339" spans="2:3" x14ac:dyDescent="0.3">
      <c r="B339" s="3">
        <v>24</v>
      </c>
      <c r="C339" s="3">
        <v>46</v>
      </c>
    </row>
    <row r="340" spans="2:3" x14ac:dyDescent="0.3">
      <c r="B340" s="3">
        <v>72</v>
      </c>
      <c r="C340" s="3">
        <v>36</v>
      </c>
    </row>
    <row r="341" spans="2:3" x14ac:dyDescent="0.3">
      <c r="B341" s="3">
        <v>43</v>
      </c>
      <c r="C341" s="3">
        <v>40</v>
      </c>
    </row>
    <row r="342" spans="2:3" x14ac:dyDescent="0.3">
      <c r="B342" s="3">
        <v>44</v>
      </c>
      <c r="C342" s="3">
        <v>41</v>
      </c>
    </row>
    <row r="343" spans="2:3" x14ac:dyDescent="0.3">
      <c r="B343" s="3">
        <v>45</v>
      </c>
      <c r="C343" s="3">
        <v>33</v>
      </c>
    </row>
    <row r="344" spans="2:3" x14ac:dyDescent="0.3">
      <c r="B344" s="3">
        <v>94</v>
      </c>
      <c r="C344" s="3">
        <v>48</v>
      </c>
    </row>
    <row r="345" spans="2:3" x14ac:dyDescent="0.3">
      <c r="B345" s="3">
        <v>50</v>
      </c>
      <c r="C345" s="3">
        <v>43</v>
      </c>
    </row>
    <row r="346" spans="2:3" x14ac:dyDescent="0.3">
      <c r="B346" s="3">
        <v>63</v>
      </c>
      <c r="C346" s="3">
        <v>37</v>
      </c>
    </row>
    <row r="347" spans="2:3" x14ac:dyDescent="0.3">
      <c r="B347" s="3">
        <v>27</v>
      </c>
      <c r="C347" s="3">
        <v>41</v>
      </c>
    </row>
    <row r="348" spans="2:3" x14ac:dyDescent="0.3">
      <c r="B348" s="3">
        <v>70</v>
      </c>
      <c r="C348" s="3">
        <v>39</v>
      </c>
    </row>
    <row r="349" spans="2:3" x14ac:dyDescent="0.3">
      <c r="B349" s="3">
        <v>81</v>
      </c>
      <c r="C349" s="3">
        <v>42</v>
      </c>
    </row>
    <row r="350" spans="2:3" x14ac:dyDescent="0.3">
      <c r="B350" s="3">
        <v>75</v>
      </c>
      <c r="C350" s="3">
        <v>48</v>
      </c>
    </row>
    <row r="351" spans="2:3" x14ac:dyDescent="0.3">
      <c r="B351" s="3">
        <v>80</v>
      </c>
      <c r="C351" s="3">
        <v>42</v>
      </c>
    </row>
    <row r="352" spans="2:3" x14ac:dyDescent="0.3">
      <c r="B352" s="3">
        <v>58</v>
      </c>
      <c r="C352" s="3">
        <v>42</v>
      </c>
    </row>
    <row r="353" spans="2:3" x14ac:dyDescent="0.3">
      <c r="B353" s="3">
        <v>83</v>
      </c>
      <c r="C353" s="3">
        <v>36</v>
      </c>
    </row>
    <row r="354" spans="2:3" x14ac:dyDescent="0.3">
      <c r="B354" s="3">
        <v>71</v>
      </c>
      <c r="C354" s="3">
        <v>45</v>
      </c>
    </row>
    <row r="355" spans="2:3" x14ac:dyDescent="0.3">
      <c r="B355" s="3">
        <v>70</v>
      </c>
      <c r="C355" s="3">
        <v>46</v>
      </c>
    </row>
    <row r="356" spans="2:3" x14ac:dyDescent="0.3">
      <c r="B356" s="3">
        <v>30</v>
      </c>
      <c r="C356" s="3">
        <v>29</v>
      </c>
    </row>
    <row r="357" spans="2:3" x14ac:dyDescent="0.3">
      <c r="B357" s="3">
        <v>43</v>
      </c>
      <c r="C357" s="3">
        <v>20</v>
      </c>
    </row>
    <row r="358" spans="2:3" x14ac:dyDescent="0.3">
      <c r="B358" s="3">
        <v>50</v>
      </c>
      <c r="C358" s="3">
        <v>40</v>
      </c>
    </row>
    <row r="359" spans="2:3" x14ac:dyDescent="0.3">
      <c r="B359" s="3">
        <v>83</v>
      </c>
      <c r="C359" s="3">
        <v>45</v>
      </c>
    </row>
    <row r="360" spans="2:3" x14ac:dyDescent="0.3">
      <c r="B360" s="3">
        <v>77</v>
      </c>
      <c r="C360" s="3">
        <v>42</v>
      </c>
    </row>
    <row r="361" spans="2:3" x14ac:dyDescent="0.3">
      <c r="B361" s="3">
        <v>50</v>
      </c>
      <c r="C361" s="3">
        <v>36</v>
      </c>
    </row>
    <row r="362" spans="2:3" x14ac:dyDescent="0.3">
      <c r="B362" s="3">
        <v>45</v>
      </c>
      <c r="C362" s="3">
        <v>32</v>
      </c>
    </row>
    <row r="363" spans="2:3" x14ac:dyDescent="0.3">
      <c r="B363" s="3">
        <v>83</v>
      </c>
      <c r="C363" s="3">
        <v>45</v>
      </c>
    </row>
    <row r="364" spans="2:3" x14ac:dyDescent="0.3">
      <c r="B364" s="3">
        <v>24</v>
      </c>
      <c r="C364" s="3">
        <v>45</v>
      </c>
    </row>
    <row r="365" spans="2:3" x14ac:dyDescent="0.3">
      <c r="B365" s="3">
        <v>33</v>
      </c>
      <c r="C365" s="3">
        <v>40</v>
      </c>
    </row>
    <row r="366" spans="2:3" x14ac:dyDescent="0.3">
      <c r="B366" s="3">
        <v>65</v>
      </c>
      <c r="C366" s="3">
        <v>30</v>
      </c>
    </row>
    <row r="367" spans="2:3" x14ac:dyDescent="0.3">
      <c r="B367" s="3">
        <v>80</v>
      </c>
      <c r="C367" s="3">
        <v>43</v>
      </c>
    </row>
    <row r="368" spans="2:3" x14ac:dyDescent="0.3">
      <c r="B368" s="3">
        <v>18</v>
      </c>
      <c r="C368" s="3">
        <v>37</v>
      </c>
    </row>
    <row r="369" spans="2:3" x14ac:dyDescent="0.3">
      <c r="B369" s="3">
        <v>91</v>
      </c>
      <c r="C369" s="3">
        <v>48</v>
      </c>
    </row>
    <row r="370" spans="2:3" x14ac:dyDescent="0.3">
      <c r="B370" s="3">
        <v>82</v>
      </c>
      <c r="C370" s="3">
        <v>46</v>
      </c>
    </row>
    <row r="371" spans="2:3" x14ac:dyDescent="0.3">
      <c r="B371" s="3">
        <v>45</v>
      </c>
      <c r="C371" s="3">
        <v>41</v>
      </c>
    </row>
    <row r="372" spans="2:3" x14ac:dyDescent="0.3">
      <c r="B372" s="3">
        <v>64</v>
      </c>
      <c r="C372" s="3">
        <v>45</v>
      </c>
    </row>
    <row r="373" spans="2:3" x14ac:dyDescent="0.3">
      <c r="B373" s="3">
        <v>17</v>
      </c>
      <c r="C373" s="3">
        <v>34</v>
      </c>
    </row>
    <row r="374" spans="2:3" x14ac:dyDescent="0.3">
      <c r="B374" s="3">
        <v>18</v>
      </c>
      <c r="C374" s="3">
        <v>37</v>
      </c>
    </row>
    <row r="375" spans="2:3" x14ac:dyDescent="0.3">
      <c r="B375" s="3">
        <v>67</v>
      </c>
      <c r="C375" s="3">
        <v>40</v>
      </c>
    </row>
    <row r="376" spans="2:3" x14ac:dyDescent="0.3">
      <c r="B376" s="3">
        <v>92</v>
      </c>
      <c r="C376" s="3">
        <v>39</v>
      </c>
    </row>
    <row r="377" spans="2:3" x14ac:dyDescent="0.3">
      <c r="B377" s="3">
        <v>80</v>
      </c>
      <c r="C377" s="3">
        <v>48</v>
      </c>
    </row>
    <row r="378" spans="2:3" x14ac:dyDescent="0.3">
      <c r="B378" s="3">
        <v>100</v>
      </c>
      <c r="C378" s="3">
        <v>46</v>
      </c>
    </row>
    <row r="379" spans="2:3" x14ac:dyDescent="0.3">
      <c r="B379" s="3">
        <v>70</v>
      </c>
      <c r="C379" s="3">
        <v>40</v>
      </c>
    </row>
    <row r="380" spans="2:3" x14ac:dyDescent="0.3">
      <c r="B380" s="3">
        <v>94</v>
      </c>
      <c r="C380" s="3">
        <v>44</v>
      </c>
    </row>
    <row r="381" spans="2:3" x14ac:dyDescent="0.3">
      <c r="B381" s="3">
        <v>40</v>
      </c>
      <c r="C381" s="3">
        <v>44</v>
      </c>
    </row>
    <row r="382" spans="2:3" x14ac:dyDescent="0.3">
      <c r="B382" s="3">
        <v>25</v>
      </c>
      <c r="C382" s="3">
        <v>37</v>
      </c>
    </row>
    <row r="383" spans="2:3" x14ac:dyDescent="0.3">
      <c r="B383" s="3">
        <v>51</v>
      </c>
      <c r="C383" s="3">
        <v>43</v>
      </c>
    </row>
    <row r="384" spans="2:3" x14ac:dyDescent="0.3">
      <c r="B384" s="3">
        <v>9</v>
      </c>
      <c r="C384" s="3">
        <v>21</v>
      </c>
    </row>
    <row r="385" spans="2:3" x14ac:dyDescent="0.3">
      <c r="B385" s="3">
        <v>85</v>
      </c>
      <c r="C385" s="3">
        <v>38</v>
      </c>
    </row>
    <row r="386" spans="2:3" x14ac:dyDescent="0.3">
      <c r="B386" s="3">
        <v>46</v>
      </c>
      <c r="C386" s="3">
        <v>37</v>
      </c>
    </row>
    <row r="387" spans="2:3" x14ac:dyDescent="0.3">
      <c r="B387" s="3">
        <v>91</v>
      </c>
      <c r="C387" s="3">
        <v>46</v>
      </c>
    </row>
    <row r="388" spans="2:3" x14ac:dyDescent="0.3">
      <c r="B388" s="3">
        <v>89</v>
      </c>
      <c r="C388" s="3">
        <v>43</v>
      </c>
    </row>
    <row r="389" spans="2:3" x14ac:dyDescent="0.3">
      <c r="B389" s="3">
        <v>42</v>
      </c>
      <c r="C389" s="3">
        <v>45</v>
      </c>
    </row>
    <row r="390" spans="2:3" x14ac:dyDescent="0.3">
      <c r="B390" s="3">
        <v>94</v>
      </c>
      <c r="C390" s="3">
        <v>42</v>
      </c>
    </row>
    <row r="391" spans="2:3" x14ac:dyDescent="0.3">
      <c r="B391" s="3">
        <v>94</v>
      </c>
      <c r="C391" s="3">
        <v>43</v>
      </c>
    </row>
    <row r="392" spans="2:3" x14ac:dyDescent="0.3">
      <c r="B392" s="3">
        <v>34</v>
      </c>
      <c r="C392" s="3">
        <v>29</v>
      </c>
    </row>
    <row r="393" spans="2:3" x14ac:dyDescent="0.3">
      <c r="B393" s="3">
        <v>74</v>
      </c>
      <c r="C393" s="3">
        <v>44</v>
      </c>
    </row>
    <row r="394" spans="2:3" x14ac:dyDescent="0.3">
      <c r="B394" s="3">
        <v>0</v>
      </c>
      <c r="C394" s="3">
        <v>0</v>
      </c>
    </row>
    <row r="395" spans="2:3" x14ac:dyDescent="0.3">
      <c r="B395" s="3">
        <v>23</v>
      </c>
      <c r="C395" s="3">
        <v>43</v>
      </c>
    </row>
    <row r="396" spans="2:3" x14ac:dyDescent="0.3">
      <c r="B396" s="3">
        <v>84</v>
      </c>
      <c r="C396" s="3">
        <v>48</v>
      </c>
    </row>
    <row r="397" spans="2:3" x14ac:dyDescent="0.3">
      <c r="B397" s="3">
        <v>59</v>
      </c>
      <c r="C397" s="3">
        <v>43</v>
      </c>
    </row>
    <row r="398" spans="2:3" x14ac:dyDescent="0.3">
      <c r="B398" s="3">
        <v>10</v>
      </c>
      <c r="C398" s="3">
        <v>39</v>
      </c>
    </row>
    <row r="399" spans="2:3" x14ac:dyDescent="0.3">
      <c r="B399" s="3">
        <v>75</v>
      </c>
      <c r="C399" s="3">
        <v>37</v>
      </c>
    </row>
    <row r="400" spans="2:3" x14ac:dyDescent="0.3">
      <c r="B400" s="3">
        <v>84</v>
      </c>
      <c r="C400" s="3">
        <v>29</v>
      </c>
    </row>
    <row r="401" spans="2:3" x14ac:dyDescent="0.3">
      <c r="B401" s="3">
        <v>35</v>
      </c>
      <c r="C401" s="3">
        <v>31</v>
      </c>
    </row>
    <row r="402" spans="2:3" x14ac:dyDescent="0.3">
      <c r="B402" s="3">
        <v>96</v>
      </c>
      <c r="C402" s="3">
        <v>44</v>
      </c>
    </row>
    <row r="403" spans="2:3" x14ac:dyDescent="0.3">
      <c r="B403" s="3">
        <v>36</v>
      </c>
      <c r="C403" s="3">
        <v>42</v>
      </c>
    </row>
    <row r="404" spans="2:3" x14ac:dyDescent="0.3">
      <c r="B404" s="3">
        <v>85</v>
      </c>
      <c r="C404" s="3">
        <v>44</v>
      </c>
    </row>
    <row r="405" spans="2:3" x14ac:dyDescent="0.3">
      <c r="B405" s="3">
        <v>73</v>
      </c>
      <c r="C405" s="3">
        <v>40</v>
      </c>
    </row>
    <row r="406" spans="2:3" x14ac:dyDescent="0.3">
      <c r="B406" s="3">
        <v>55</v>
      </c>
      <c r="C406" s="3">
        <v>34</v>
      </c>
    </row>
    <row r="407" spans="2:3" x14ac:dyDescent="0.3">
      <c r="B407" s="3">
        <v>69</v>
      </c>
      <c r="C407" s="3">
        <v>34</v>
      </c>
    </row>
    <row r="408" spans="2:3" x14ac:dyDescent="0.3">
      <c r="B408" s="3">
        <v>61</v>
      </c>
      <c r="C408" s="3">
        <v>41</v>
      </c>
    </row>
    <row r="409" spans="2:3" x14ac:dyDescent="0.3">
      <c r="B409" s="3">
        <v>75</v>
      </c>
      <c r="C409" s="3">
        <v>41</v>
      </c>
    </row>
    <row r="410" spans="2:3" x14ac:dyDescent="0.3">
      <c r="B410" s="3">
        <v>66</v>
      </c>
      <c r="C410" s="3">
        <v>45</v>
      </c>
    </row>
    <row r="411" spans="2:3" x14ac:dyDescent="0.3">
      <c r="B411" s="3">
        <v>49</v>
      </c>
      <c r="C411" s="3">
        <v>42</v>
      </c>
    </row>
    <row r="412" spans="2:3" x14ac:dyDescent="0.3">
      <c r="B412" s="3">
        <v>62</v>
      </c>
      <c r="C412" s="3">
        <v>40</v>
      </c>
    </row>
    <row r="413" spans="2:3" x14ac:dyDescent="0.3">
      <c r="B413" s="3">
        <v>19</v>
      </c>
      <c r="C413" s="3">
        <v>33</v>
      </c>
    </row>
    <row r="414" spans="2:3" x14ac:dyDescent="0.3">
      <c r="B414" s="3">
        <v>40</v>
      </c>
      <c r="C414" s="3">
        <v>42</v>
      </c>
    </row>
    <row r="415" spans="2:3" x14ac:dyDescent="0.3">
      <c r="B415" s="3">
        <v>68</v>
      </c>
      <c r="C415" s="3">
        <v>44</v>
      </c>
    </row>
    <row r="416" spans="2:3" x14ac:dyDescent="0.3">
      <c r="B416" s="3">
        <v>41</v>
      </c>
      <c r="C416" s="3">
        <v>34</v>
      </c>
    </row>
    <row r="417" spans="2:3" x14ac:dyDescent="0.3">
      <c r="B417" s="3">
        <v>10</v>
      </c>
      <c r="C417" s="3">
        <v>45</v>
      </c>
    </row>
    <row r="418" spans="2:3" x14ac:dyDescent="0.3">
      <c r="B418" s="3">
        <v>67</v>
      </c>
      <c r="C418" s="3">
        <v>40</v>
      </c>
    </row>
    <row r="419" spans="2:3" x14ac:dyDescent="0.3">
      <c r="B419" s="3">
        <v>63</v>
      </c>
      <c r="C419" s="3">
        <v>43</v>
      </c>
    </row>
    <row r="420" spans="2:3" x14ac:dyDescent="0.3">
      <c r="B420" s="3">
        <v>44</v>
      </c>
      <c r="C420" s="3">
        <v>28</v>
      </c>
    </row>
    <row r="421" spans="2:3" x14ac:dyDescent="0.3">
      <c r="B421" s="3">
        <v>47</v>
      </c>
      <c r="C421" s="3">
        <v>36</v>
      </c>
    </row>
    <row r="422" spans="2:3" x14ac:dyDescent="0.3">
      <c r="B422" s="3">
        <v>55</v>
      </c>
      <c r="C422" s="3">
        <v>36</v>
      </c>
    </row>
    <row r="423" spans="2:3" x14ac:dyDescent="0.3">
      <c r="B423" s="3">
        <v>69</v>
      </c>
      <c r="C423" s="3">
        <v>33</v>
      </c>
    </row>
    <row r="424" spans="2:3" x14ac:dyDescent="0.3">
      <c r="B424" s="3">
        <v>46</v>
      </c>
      <c r="C424" s="3">
        <v>44</v>
      </c>
    </row>
    <row r="425" spans="2:3" x14ac:dyDescent="0.3">
      <c r="B425" s="3">
        <v>54</v>
      </c>
      <c r="C425" s="3">
        <v>26</v>
      </c>
    </row>
    <row r="426" spans="2:3" x14ac:dyDescent="0.3">
      <c r="B426" s="3">
        <v>0</v>
      </c>
      <c r="C426" s="3">
        <v>41</v>
      </c>
    </row>
    <row r="427" spans="2:3" x14ac:dyDescent="0.3">
      <c r="B427" s="3">
        <v>67</v>
      </c>
      <c r="C427" s="3">
        <v>46</v>
      </c>
    </row>
    <row r="428" spans="2:3" x14ac:dyDescent="0.3">
      <c r="B428" s="3">
        <v>51</v>
      </c>
      <c r="C428" s="3">
        <v>35</v>
      </c>
    </row>
    <row r="429" spans="2:3" x14ac:dyDescent="0.3">
      <c r="B429" s="3">
        <v>64</v>
      </c>
      <c r="C429" s="3">
        <v>40</v>
      </c>
    </row>
    <row r="430" spans="2:3" x14ac:dyDescent="0.3">
      <c r="B430" s="3">
        <v>27</v>
      </c>
      <c r="C430" s="3">
        <v>33</v>
      </c>
    </row>
    <row r="431" spans="2:3" x14ac:dyDescent="0.3">
      <c r="B431" s="3">
        <v>64</v>
      </c>
      <c r="C431" s="3">
        <v>42</v>
      </c>
    </row>
    <row r="432" spans="2:3" x14ac:dyDescent="0.3">
      <c r="B432" s="3">
        <v>31</v>
      </c>
      <c r="C432" s="3">
        <v>43</v>
      </c>
    </row>
    <row r="433" spans="2:3" x14ac:dyDescent="0.3">
      <c r="B433" s="3">
        <v>51</v>
      </c>
      <c r="C433" s="3">
        <v>39</v>
      </c>
    </row>
    <row r="434" spans="2:3" x14ac:dyDescent="0.3">
      <c r="B434" s="3">
        <v>53</v>
      </c>
      <c r="C434" s="3">
        <v>38</v>
      </c>
    </row>
    <row r="435" spans="2:3" x14ac:dyDescent="0.3">
      <c r="B435" s="3">
        <v>54</v>
      </c>
      <c r="C435" s="3">
        <v>46</v>
      </c>
    </row>
    <row r="436" spans="2:3" x14ac:dyDescent="0.3">
      <c r="B436" s="3">
        <v>59</v>
      </c>
      <c r="C436" s="3">
        <v>41</v>
      </c>
    </row>
    <row r="437" spans="2:3" x14ac:dyDescent="0.3">
      <c r="B437" s="3">
        <v>57</v>
      </c>
      <c r="C437" s="3">
        <v>39</v>
      </c>
    </row>
    <row r="438" spans="2:3" x14ac:dyDescent="0.3">
      <c r="B438" s="3">
        <v>51</v>
      </c>
      <c r="C438" s="3">
        <v>42</v>
      </c>
    </row>
    <row r="439" spans="2:3" x14ac:dyDescent="0.3">
      <c r="B439" s="3">
        <v>75</v>
      </c>
      <c r="C439" s="3">
        <v>40</v>
      </c>
    </row>
    <row r="440" spans="2:3" x14ac:dyDescent="0.3">
      <c r="B440" s="3">
        <v>36</v>
      </c>
      <c r="C440" s="3">
        <v>30</v>
      </c>
    </row>
    <row r="441" spans="2:3" x14ac:dyDescent="0.3">
      <c r="B441" s="3">
        <v>69</v>
      </c>
      <c r="C441" s="3">
        <v>41</v>
      </c>
    </row>
    <row r="442" spans="2:3" x14ac:dyDescent="0.3">
      <c r="B442" s="3">
        <v>74</v>
      </c>
      <c r="C442" s="3">
        <v>45</v>
      </c>
    </row>
    <row r="443" spans="2:3" x14ac:dyDescent="0.3">
      <c r="B443" s="3">
        <v>46</v>
      </c>
      <c r="C443" s="3">
        <v>44</v>
      </c>
    </row>
    <row r="444" spans="2:3" x14ac:dyDescent="0.3">
      <c r="B444" s="3">
        <v>31</v>
      </c>
      <c r="C444" s="3">
        <v>35</v>
      </c>
    </row>
    <row r="445" spans="2:3" x14ac:dyDescent="0.3">
      <c r="B445" s="3">
        <v>73</v>
      </c>
      <c r="C445" s="3">
        <v>42</v>
      </c>
    </row>
    <row r="446" spans="2:3" x14ac:dyDescent="0.3">
      <c r="B446" s="3">
        <v>58</v>
      </c>
      <c r="C446" s="3">
        <v>41</v>
      </c>
    </row>
    <row r="447" spans="2:3" x14ac:dyDescent="0.3">
      <c r="B447" s="3">
        <v>27</v>
      </c>
      <c r="C447" s="3">
        <v>24</v>
      </c>
    </row>
    <row r="448" spans="2:3" x14ac:dyDescent="0.3">
      <c r="B448" s="3">
        <v>23</v>
      </c>
      <c r="C448" s="3">
        <v>23</v>
      </c>
    </row>
    <row r="449" spans="2:3" x14ac:dyDescent="0.3">
      <c r="B449" s="3">
        <v>32</v>
      </c>
      <c r="C449" s="3">
        <v>34</v>
      </c>
    </row>
    <row r="450" spans="2:3" x14ac:dyDescent="0.3">
      <c r="B450" s="3">
        <v>0</v>
      </c>
      <c r="C450" s="3">
        <v>0</v>
      </c>
    </row>
    <row r="451" spans="2:3" x14ac:dyDescent="0.3">
      <c r="B451" s="3">
        <v>56</v>
      </c>
      <c r="C451" s="3">
        <v>41</v>
      </c>
    </row>
    <row r="452" spans="2:3" x14ac:dyDescent="0.3">
      <c r="B452" s="3">
        <v>83</v>
      </c>
      <c r="C452" s="3">
        <v>45</v>
      </c>
    </row>
    <row r="453" spans="2:3" x14ac:dyDescent="0.3">
      <c r="B453" s="3">
        <v>76</v>
      </c>
      <c r="C453" s="3">
        <v>43</v>
      </c>
    </row>
    <row r="454" spans="2:3" x14ac:dyDescent="0.3">
      <c r="B454" s="3">
        <v>58</v>
      </c>
      <c r="C454" s="3">
        <v>31</v>
      </c>
    </row>
    <row r="455" spans="2:3" x14ac:dyDescent="0.3">
      <c r="B455" s="3">
        <v>33</v>
      </c>
      <c r="C455" s="3">
        <v>28</v>
      </c>
    </row>
    <row r="456" spans="2:3" x14ac:dyDescent="0.3">
      <c r="B456" s="3">
        <v>42</v>
      </c>
      <c r="C456" s="3">
        <v>38</v>
      </c>
    </row>
    <row r="457" spans="2:3" x14ac:dyDescent="0.3">
      <c r="B457" s="3">
        <v>36</v>
      </c>
      <c r="C457" s="3">
        <v>33</v>
      </c>
    </row>
    <row r="458" spans="2:3" x14ac:dyDescent="0.3">
      <c r="B458" s="3">
        <v>60</v>
      </c>
      <c r="C458" s="3">
        <v>43</v>
      </c>
    </row>
    <row r="459" spans="2:3" x14ac:dyDescent="0.3">
      <c r="B459" s="3">
        <v>100</v>
      </c>
      <c r="C459" s="3">
        <v>39</v>
      </c>
    </row>
    <row r="460" spans="2:3" x14ac:dyDescent="0.3">
      <c r="B460" s="3">
        <v>81</v>
      </c>
      <c r="C460" s="3">
        <v>48</v>
      </c>
    </row>
    <row r="461" spans="2:3" x14ac:dyDescent="0.3">
      <c r="B461" s="3">
        <v>45</v>
      </c>
      <c r="C461" s="3">
        <v>35</v>
      </c>
    </row>
    <row r="462" spans="2:3" x14ac:dyDescent="0.3">
      <c r="B462" s="3">
        <v>25</v>
      </c>
      <c r="C462" s="3">
        <v>32</v>
      </c>
    </row>
    <row r="463" spans="2:3" x14ac:dyDescent="0.3">
      <c r="B463" s="3">
        <v>73</v>
      </c>
      <c r="C463" s="3">
        <v>48</v>
      </c>
    </row>
    <row r="464" spans="2:3" x14ac:dyDescent="0.3">
      <c r="B464" s="3">
        <v>77</v>
      </c>
      <c r="C464" s="3">
        <v>35</v>
      </c>
    </row>
    <row r="465" spans="2:3" x14ac:dyDescent="0.3">
      <c r="B465" s="3">
        <v>51</v>
      </c>
      <c r="C465" s="3">
        <v>46</v>
      </c>
    </row>
    <row r="466" spans="2:3" x14ac:dyDescent="0.3">
      <c r="B466" s="3">
        <v>31</v>
      </c>
      <c r="C466" s="3">
        <v>39</v>
      </c>
    </row>
    <row r="467" spans="2:3" x14ac:dyDescent="0.3">
      <c r="B467" s="3">
        <v>85</v>
      </c>
      <c r="C467" s="3">
        <v>45</v>
      </c>
    </row>
    <row r="468" spans="2:3" x14ac:dyDescent="0.3">
      <c r="B468" s="3">
        <v>30</v>
      </c>
      <c r="C468" s="3">
        <v>41</v>
      </c>
    </row>
    <row r="469" spans="2:3" x14ac:dyDescent="0.3">
      <c r="B469" s="3">
        <v>70</v>
      </c>
      <c r="C469" s="3">
        <v>39</v>
      </c>
    </row>
    <row r="470" spans="2:3" x14ac:dyDescent="0.3">
      <c r="B470" s="3">
        <v>87</v>
      </c>
      <c r="C470" s="3">
        <v>42</v>
      </c>
    </row>
    <row r="471" spans="2:3" x14ac:dyDescent="0.3">
      <c r="B471" s="3">
        <v>30</v>
      </c>
      <c r="C471" s="3">
        <v>36</v>
      </c>
    </row>
    <row r="472" spans="2:3" x14ac:dyDescent="0.3">
      <c r="B472" s="3">
        <v>37</v>
      </c>
      <c r="C472" s="3">
        <v>41</v>
      </c>
    </row>
    <row r="473" spans="2:3" x14ac:dyDescent="0.3">
      <c r="B473" s="3">
        <v>0</v>
      </c>
      <c r="C473" s="3">
        <v>35</v>
      </c>
    </row>
    <row r="474" spans="2:3" x14ac:dyDescent="0.3">
      <c r="B474" s="3">
        <v>86</v>
      </c>
      <c r="C474" s="3">
        <v>41</v>
      </c>
    </row>
    <row r="475" spans="2:3" x14ac:dyDescent="0.3">
      <c r="B475" s="3">
        <v>82</v>
      </c>
      <c r="C475" s="3">
        <v>34</v>
      </c>
    </row>
    <row r="476" spans="2:3" x14ac:dyDescent="0.3">
      <c r="B476" s="3">
        <v>45</v>
      </c>
      <c r="C476" s="3">
        <v>45</v>
      </c>
    </row>
    <row r="477" spans="2:3" x14ac:dyDescent="0.3">
      <c r="B477" s="3">
        <v>0</v>
      </c>
      <c r="C477" s="3">
        <v>41</v>
      </c>
    </row>
    <row r="478" spans="2:3" x14ac:dyDescent="0.3">
      <c r="B478" s="3">
        <v>88</v>
      </c>
      <c r="C478" s="3">
        <v>44</v>
      </c>
    </row>
    <row r="479" spans="2:3" x14ac:dyDescent="0.3">
      <c r="B479" s="3">
        <v>71</v>
      </c>
      <c r="C479" s="3">
        <v>43</v>
      </c>
    </row>
    <row r="480" spans="2:3" x14ac:dyDescent="0.3">
      <c r="B480" s="3">
        <v>53</v>
      </c>
      <c r="C480" s="3">
        <v>46</v>
      </c>
    </row>
    <row r="481" spans="2:3" x14ac:dyDescent="0.3">
      <c r="B481" s="3">
        <v>45</v>
      </c>
      <c r="C481" s="3">
        <v>35</v>
      </c>
    </row>
    <row r="482" spans="2:3" x14ac:dyDescent="0.3">
      <c r="B482" s="3">
        <v>24</v>
      </c>
      <c r="C482" s="3">
        <v>39</v>
      </c>
    </row>
    <row r="483" spans="2:3" x14ac:dyDescent="0.3">
      <c r="B483" s="3">
        <v>70</v>
      </c>
      <c r="C483" s="3">
        <v>38</v>
      </c>
    </row>
    <row r="484" spans="2:3" x14ac:dyDescent="0.3">
      <c r="B484" s="3">
        <v>72</v>
      </c>
      <c r="C484" s="3">
        <v>40</v>
      </c>
    </row>
    <row r="485" spans="2:3" x14ac:dyDescent="0.3">
      <c r="B485" s="3">
        <v>0</v>
      </c>
      <c r="C485" s="3">
        <v>37</v>
      </c>
    </row>
    <row r="486" spans="2:3" x14ac:dyDescent="0.3">
      <c r="B486" s="3">
        <v>51</v>
      </c>
      <c r="C486" s="3">
        <v>46</v>
      </c>
    </row>
    <row r="487" spans="2:3" x14ac:dyDescent="0.3">
      <c r="B487" s="3">
        <v>94</v>
      </c>
      <c r="C487" s="3">
        <v>44</v>
      </c>
    </row>
    <row r="488" spans="2:3" x14ac:dyDescent="0.3">
      <c r="B488" s="3">
        <v>36</v>
      </c>
      <c r="C488" s="3">
        <v>35</v>
      </c>
    </row>
    <row r="489" spans="2:3" x14ac:dyDescent="0.3">
      <c r="B489" s="3">
        <v>54</v>
      </c>
      <c r="C489" s="3">
        <v>47</v>
      </c>
    </row>
    <row r="490" spans="2:3" x14ac:dyDescent="0.3">
      <c r="B490" s="3">
        <v>17</v>
      </c>
      <c r="C490" s="3">
        <v>42</v>
      </c>
    </row>
    <row r="491" spans="2:3" x14ac:dyDescent="0.3">
      <c r="B491" s="3">
        <v>48</v>
      </c>
      <c r="C491" s="3">
        <v>35</v>
      </c>
    </row>
    <row r="492" spans="2:3" x14ac:dyDescent="0.3">
      <c r="B492" s="3">
        <v>37</v>
      </c>
      <c r="C492" s="3">
        <v>42</v>
      </c>
    </row>
    <row r="493" spans="2:3" x14ac:dyDescent="0.3">
      <c r="B493" s="3">
        <v>65</v>
      </c>
      <c r="C493" s="3">
        <v>39</v>
      </c>
    </row>
    <row r="494" spans="2:3" x14ac:dyDescent="0.3">
      <c r="B494" s="3">
        <v>66</v>
      </c>
      <c r="C494" s="3">
        <v>34</v>
      </c>
    </row>
    <row r="495" spans="2:3" x14ac:dyDescent="0.3">
      <c r="B495" s="3">
        <v>55</v>
      </c>
      <c r="C495" s="3">
        <v>36</v>
      </c>
    </row>
    <row r="496" spans="2:3" x14ac:dyDescent="0.3">
      <c r="B496" s="3">
        <v>37</v>
      </c>
      <c r="C496" s="3">
        <v>48</v>
      </c>
    </row>
    <row r="497" spans="2:3" x14ac:dyDescent="0.3">
      <c r="B497" s="3">
        <v>93</v>
      </c>
      <c r="C497" s="3">
        <v>44</v>
      </c>
    </row>
    <row r="498" spans="2:3" x14ac:dyDescent="0.3">
      <c r="B498" s="3">
        <v>92</v>
      </c>
      <c r="C498" s="3">
        <v>46</v>
      </c>
    </row>
    <row r="499" spans="2:3" x14ac:dyDescent="0.3">
      <c r="B499" s="3">
        <v>91</v>
      </c>
      <c r="C499" s="3">
        <v>41</v>
      </c>
    </row>
    <row r="500" spans="2:3" x14ac:dyDescent="0.3">
      <c r="B500" s="3">
        <v>63</v>
      </c>
      <c r="C500" s="3">
        <v>40</v>
      </c>
    </row>
    <row r="501" spans="2:3" x14ac:dyDescent="0.3">
      <c r="B501" s="3">
        <v>99</v>
      </c>
      <c r="C501" s="3">
        <v>46</v>
      </c>
    </row>
    <row r="502" spans="2:3" x14ac:dyDescent="0.3">
      <c r="B502" s="3">
        <v>74</v>
      </c>
      <c r="C502" s="3">
        <v>37</v>
      </c>
    </row>
    <row r="503" spans="2:3" x14ac:dyDescent="0.3">
      <c r="B503" s="3">
        <v>94</v>
      </c>
      <c r="C503" s="3">
        <v>45</v>
      </c>
    </row>
    <row r="504" spans="2:3" x14ac:dyDescent="0.3">
      <c r="B504" s="3">
        <v>70</v>
      </c>
      <c r="C504" s="3">
        <v>39</v>
      </c>
    </row>
    <row r="505" spans="2:3" x14ac:dyDescent="0.3">
      <c r="B505" s="3">
        <v>86</v>
      </c>
      <c r="C505" s="3">
        <v>45</v>
      </c>
    </row>
    <row r="506" spans="2:3" x14ac:dyDescent="0.3">
      <c r="B506" s="3">
        <v>97</v>
      </c>
      <c r="C506" s="3">
        <v>47</v>
      </c>
    </row>
    <row r="507" spans="2:3" x14ac:dyDescent="0.3">
      <c r="B507" s="3">
        <v>90</v>
      </c>
      <c r="C507" s="3">
        <v>43</v>
      </c>
    </row>
    <row r="508" spans="2:3" x14ac:dyDescent="0.3">
      <c r="B508" s="3">
        <v>87</v>
      </c>
      <c r="C508" s="3">
        <v>46</v>
      </c>
    </row>
    <row r="509" spans="2:3" x14ac:dyDescent="0.3">
      <c r="B509" s="3">
        <v>83</v>
      </c>
      <c r="C509" s="3">
        <v>41</v>
      </c>
    </row>
    <row r="510" spans="2:3" x14ac:dyDescent="0.3">
      <c r="B510" s="3">
        <v>89</v>
      </c>
      <c r="C510" s="3">
        <v>50</v>
      </c>
    </row>
    <row r="511" spans="2:3" x14ac:dyDescent="0.3">
      <c r="B511" s="3">
        <v>0</v>
      </c>
      <c r="C511" s="3">
        <v>45</v>
      </c>
    </row>
    <row r="512" spans="2:3" x14ac:dyDescent="0.3">
      <c r="B512" s="3">
        <v>84</v>
      </c>
      <c r="C512" s="3">
        <v>41</v>
      </c>
    </row>
    <row r="513" spans="2:3" x14ac:dyDescent="0.3">
      <c r="B513" s="3">
        <v>93</v>
      </c>
      <c r="C513" s="3">
        <v>36</v>
      </c>
    </row>
    <row r="514" spans="2:3" x14ac:dyDescent="0.3">
      <c r="B514" s="3">
        <v>100</v>
      </c>
      <c r="C514" s="3">
        <v>47</v>
      </c>
    </row>
    <row r="515" spans="2:3" x14ac:dyDescent="0.3">
      <c r="B515" s="3">
        <v>78</v>
      </c>
      <c r="C515" s="3">
        <v>44</v>
      </c>
    </row>
    <row r="516" spans="2:3" x14ac:dyDescent="0.3">
      <c r="B516" s="3">
        <v>41</v>
      </c>
      <c r="C516" s="3">
        <v>0</v>
      </c>
    </row>
    <row r="517" spans="2:3" x14ac:dyDescent="0.3">
      <c r="B517" s="3">
        <v>95</v>
      </c>
      <c r="C517" s="3">
        <v>43</v>
      </c>
    </row>
    <row r="518" spans="2:3" x14ac:dyDescent="0.3">
      <c r="B518" s="3">
        <v>83</v>
      </c>
      <c r="C518" s="3">
        <v>47</v>
      </c>
    </row>
    <row r="519" spans="2:3" x14ac:dyDescent="0.3">
      <c r="B519" s="3">
        <v>82</v>
      </c>
      <c r="C519" s="3">
        <v>42</v>
      </c>
    </row>
    <row r="520" spans="2:3" x14ac:dyDescent="0.3">
      <c r="B520" s="3">
        <v>82</v>
      </c>
      <c r="C520" s="3">
        <v>40</v>
      </c>
    </row>
    <row r="521" spans="2:3" x14ac:dyDescent="0.3">
      <c r="B521" s="3">
        <v>68</v>
      </c>
      <c r="C521" s="3">
        <v>41</v>
      </c>
    </row>
    <row r="522" spans="2:3" x14ac:dyDescent="0.3">
      <c r="B522" s="3">
        <v>53</v>
      </c>
      <c r="C522" s="3">
        <v>31</v>
      </c>
    </row>
    <row r="523" spans="2:3" x14ac:dyDescent="0.3">
      <c r="B523" s="3">
        <v>82</v>
      </c>
      <c r="C523" s="3">
        <v>40</v>
      </c>
    </row>
    <row r="524" spans="2:3" x14ac:dyDescent="0.3">
      <c r="B524" s="3">
        <v>76</v>
      </c>
      <c r="C524" s="3">
        <v>43</v>
      </c>
    </row>
    <row r="525" spans="2:3" x14ac:dyDescent="0.3">
      <c r="B525" s="3">
        <v>58</v>
      </c>
      <c r="C525" s="3">
        <v>47</v>
      </c>
    </row>
    <row r="526" spans="2:3" x14ac:dyDescent="0.3">
      <c r="B526" s="3">
        <v>73</v>
      </c>
      <c r="C526" s="3">
        <v>45</v>
      </c>
    </row>
    <row r="527" spans="2:3" x14ac:dyDescent="0.3">
      <c r="B527" s="3">
        <v>17</v>
      </c>
      <c r="C527" s="3">
        <v>44</v>
      </c>
    </row>
    <row r="528" spans="2:3" x14ac:dyDescent="0.3">
      <c r="B528" s="3">
        <v>97</v>
      </c>
      <c r="C528" s="3">
        <v>46</v>
      </c>
    </row>
    <row r="529" spans="2:3" x14ac:dyDescent="0.3">
      <c r="B529" s="3">
        <v>51</v>
      </c>
      <c r="C529" s="3">
        <v>37</v>
      </c>
    </row>
    <row r="530" spans="2:3" x14ac:dyDescent="0.3">
      <c r="B530" s="3">
        <v>0</v>
      </c>
      <c r="C530" s="3">
        <v>46</v>
      </c>
    </row>
    <row r="531" spans="2:3" x14ac:dyDescent="0.3">
      <c r="B531" s="3">
        <v>82</v>
      </c>
      <c r="C531" s="3">
        <v>41</v>
      </c>
    </row>
    <row r="532" spans="2:3" x14ac:dyDescent="0.3">
      <c r="B532" s="3">
        <v>53</v>
      </c>
      <c r="C532" s="3">
        <v>43</v>
      </c>
    </row>
    <row r="533" spans="2:3" x14ac:dyDescent="0.3">
      <c r="B533" s="3">
        <v>70</v>
      </c>
      <c r="C533" s="3">
        <v>35</v>
      </c>
    </row>
    <row r="534" spans="2:3" x14ac:dyDescent="0.3">
      <c r="B534" s="3">
        <v>67</v>
      </c>
      <c r="C534" s="3">
        <v>40</v>
      </c>
    </row>
    <row r="535" spans="2:3" x14ac:dyDescent="0.3">
      <c r="B535" s="3">
        <v>89</v>
      </c>
      <c r="C535" s="3">
        <v>43</v>
      </c>
    </row>
    <row r="536" spans="2:3" x14ac:dyDescent="0.3">
      <c r="B536" s="3">
        <v>64</v>
      </c>
      <c r="C536" s="3">
        <v>41</v>
      </c>
    </row>
    <row r="537" spans="2:3" x14ac:dyDescent="0.3">
      <c r="B537" s="3">
        <v>9</v>
      </c>
      <c r="C537" s="3">
        <v>42</v>
      </c>
    </row>
    <row r="538" spans="2:3" x14ac:dyDescent="0.3">
      <c r="B538" s="3">
        <v>22</v>
      </c>
      <c r="C538" s="3">
        <v>37</v>
      </c>
    </row>
    <row r="539" spans="2:3" x14ac:dyDescent="0.3">
      <c r="B539" s="3">
        <v>88</v>
      </c>
      <c r="C539" s="3">
        <v>39</v>
      </c>
    </row>
    <row r="540" spans="2:3" x14ac:dyDescent="0.3">
      <c r="B540" s="3">
        <v>55</v>
      </c>
      <c r="C540" s="3">
        <v>44</v>
      </c>
    </row>
    <row r="541" spans="2:3" x14ac:dyDescent="0.3">
      <c r="B541" s="3">
        <v>16</v>
      </c>
      <c r="C541" s="3">
        <v>45</v>
      </c>
    </row>
    <row r="542" spans="2:3" x14ac:dyDescent="0.3">
      <c r="B542" s="3">
        <v>76</v>
      </c>
      <c r="C542" s="3">
        <v>41</v>
      </c>
    </row>
    <row r="543" spans="2:3" x14ac:dyDescent="0.3">
      <c r="B543" s="3">
        <v>67</v>
      </c>
      <c r="C543" s="3">
        <v>43</v>
      </c>
    </row>
    <row r="544" spans="2:3" x14ac:dyDescent="0.3">
      <c r="B544" s="3">
        <v>94</v>
      </c>
      <c r="C544" s="3">
        <v>44</v>
      </c>
    </row>
    <row r="545" spans="2:3" x14ac:dyDescent="0.3">
      <c r="B545" s="3">
        <v>27</v>
      </c>
      <c r="C545" s="3">
        <v>37</v>
      </c>
    </row>
    <row r="546" spans="2:3" x14ac:dyDescent="0.3">
      <c r="B546" s="3">
        <v>44</v>
      </c>
      <c r="C546" s="3">
        <v>42</v>
      </c>
    </row>
    <row r="547" spans="2:3" x14ac:dyDescent="0.3">
      <c r="B547" s="3">
        <v>77</v>
      </c>
      <c r="C547" s="3">
        <v>42</v>
      </c>
    </row>
    <row r="548" spans="2:3" x14ac:dyDescent="0.3">
      <c r="B548" s="3">
        <v>85</v>
      </c>
      <c r="C548" s="3">
        <v>45</v>
      </c>
    </row>
    <row r="549" spans="2:3" x14ac:dyDescent="0.3">
      <c r="B549" s="3">
        <v>57</v>
      </c>
      <c r="C549" s="3">
        <v>25</v>
      </c>
    </row>
    <row r="550" spans="2:3" x14ac:dyDescent="0.3">
      <c r="B550" s="3">
        <v>58</v>
      </c>
      <c r="C550" s="3">
        <v>43</v>
      </c>
    </row>
    <row r="551" spans="2:3" x14ac:dyDescent="0.3">
      <c r="B551" s="3">
        <v>36</v>
      </c>
      <c r="C551" s="3">
        <v>43</v>
      </c>
    </row>
    <row r="552" spans="2:3" x14ac:dyDescent="0.3">
      <c r="B552" s="3">
        <v>4</v>
      </c>
      <c r="C552" s="3">
        <v>35</v>
      </c>
    </row>
    <row r="553" spans="2:3" x14ac:dyDescent="0.3">
      <c r="B553" s="3">
        <v>65</v>
      </c>
      <c r="C553" s="3">
        <v>46</v>
      </c>
    </row>
    <row r="554" spans="2:3" x14ac:dyDescent="0.3">
      <c r="B554" s="3">
        <v>19</v>
      </c>
      <c r="C554" s="3">
        <v>42</v>
      </c>
    </row>
    <row r="555" spans="2:3" x14ac:dyDescent="0.3">
      <c r="B555" s="3">
        <v>53</v>
      </c>
      <c r="C555" s="3">
        <v>42</v>
      </c>
    </row>
    <row r="556" spans="2:3" x14ac:dyDescent="0.3">
      <c r="B556" s="3">
        <v>41</v>
      </c>
      <c r="C556" s="3">
        <v>33</v>
      </c>
    </row>
    <row r="557" spans="2:3" x14ac:dyDescent="0.3">
      <c r="B557" s="3">
        <v>35</v>
      </c>
      <c r="C557" s="3">
        <v>43</v>
      </c>
    </row>
    <row r="558" spans="2:3" x14ac:dyDescent="0.3">
      <c r="B558" s="3">
        <v>86</v>
      </c>
      <c r="C558" s="3">
        <v>45</v>
      </c>
    </row>
    <row r="559" spans="2:3" x14ac:dyDescent="0.3">
      <c r="B559" s="3">
        <v>60</v>
      </c>
      <c r="C559" s="3">
        <v>39</v>
      </c>
    </row>
    <row r="560" spans="2:3" x14ac:dyDescent="0.3">
      <c r="B560" s="3">
        <v>12</v>
      </c>
      <c r="C560" s="3">
        <v>49</v>
      </c>
    </row>
    <row r="561" spans="2:3" x14ac:dyDescent="0.3">
      <c r="B561" s="3">
        <v>70</v>
      </c>
      <c r="C561" s="3">
        <v>40</v>
      </c>
    </row>
    <row r="562" spans="2:3" x14ac:dyDescent="0.3">
      <c r="B562" s="3">
        <v>25</v>
      </c>
      <c r="C562" s="3">
        <v>41</v>
      </c>
    </row>
    <row r="563" spans="2:3" x14ac:dyDescent="0.3">
      <c r="B563" s="3">
        <v>32</v>
      </c>
      <c r="C563" s="3">
        <v>41</v>
      </c>
    </row>
    <row r="564" spans="2:3" x14ac:dyDescent="0.3">
      <c r="B564" s="3">
        <v>81</v>
      </c>
      <c r="C564" s="3">
        <v>46</v>
      </c>
    </row>
    <row r="565" spans="2:3" x14ac:dyDescent="0.3">
      <c r="B565" s="3">
        <v>67</v>
      </c>
      <c r="C565" s="3">
        <v>39</v>
      </c>
    </row>
    <row r="566" spans="2:3" x14ac:dyDescent="0.3">
      <c r="B566" s="3">
        <v>57</v>
      </c>
      <c r="C566" s="3">
        <v>0</v>
      </c>
    </row>
    <row r="567" spans="2:3" x14ac:dyDescent="0.3">
      <c r="B567" s="3">
        <v>23</v>
      </c>
      <c r="C567" s="3">
        <v>36</v>
      </c>
    </row>
    <row r="568" spans="2:3" x14ac:dyDescent="0.3">
      <c r="B568" s="3">
        <v>35</v>
      </c>
      <c r="C568" s="3">
        <v>34</v>
      </c>
    </row>
    <row r="569" spans="2:3" x14ac:dyDescent="0.3">
      <c r="B569" s="3">
        <v>28</v>
      </c>
      <c r="C569" s="3">
        <v>31</v>
      </c>
    </row>
    <row r="570" spans="2:3" x14ac:dyDescent="0.3">
      <c r="B570" s="3">
        <v>15</v>
      </c>
      <c r="C570" s="3">
        <v>39</v>
      </c>
    </row>
    <row r="571" spans="2:3" x14ac:dyDescent="0.3">
      <c r="B571" s="3">
        <v>13</v>
      </c>
      <c r="C571" s="3">
        <v>39</v>
      </c>
    </row>
    <row r="572" spans="2:3" x14ac:dyDescent="0.3">
      <c r="B572" s="3">
        <v>45</v>
      </c>
      <c r="C572" s="3">
        <v>29</v>
      </c>
    </row>
    <row r="573" spans="2:3" x14ac:dyDescent="0.3">
      <c r="B573" s="3">
        <v>18</v>
      </c>
      <c r="C573" s="3">
        <v>40</v>
      </c>
    </row>
    <row r="574" spans="2:3" x14ac:dyDescent="0.3">
      <c r="B574" s="3">
        <v>49</v>
      </c>
      <c r="C574" s="3">
        <v>18</v>
      </c>
    </row>
    <row r="575" spans="2:3" x14ac:dyDescent="0.3">
      <c r="B575" s="3">
        <v>47</v>
      </c>
      <c r="C575" s="3">
        <v>45</v>
      </c>
    </row>
    <row r="576" spans="2:3" x14ac:dyDescent="0.3">
      <c r="B576" s="3">
        <v>42</v>
      </c>
      <c r="C576" s="3">
        <v>38</v>
      </c>
    </row>
    <row r="577" spans="2:3" x14ac:dyDescent="0.3">
      <c r="B577" s="3">
        <v>48</v>
      </c>
      <c r="C577" s="3">
        <v>44</v>
      </c>
    </row>
    <row r="578" spans="2:3" x14ac:dyDescent="0.3">
      <c r="B578" s="3">
        <v>67</v>
      </c>
      <c r="C578" s="3">
        <v>30</v>
      </c>
    </row>
    <row r="579" spans="2:3" x14ac:dyDescent="0.3">
      <c r="B579" s="3">
        <v>47</v>
      </c>
      <c r="C579" s="3">
        <v>37</v>
      </c>
    </row>
    <row r="580" spans="2:3" x14ac:dyDescent="0.3">
      <c r="B580" s="3">
        <v>36</v>
      </c>
      <c r="C580" s="3">
        <v>44</v>
      </c>
    </row>
    <row r="581" spans="2:3" x14ac:dyDescent="0.3">
      <c r="B581" s="3">
        <v>72</v>
      </c>
      <c r="C581" s="3">
        <v>46</v>
      </c>
    </row>
    <row r="582" spans="2:3" x14ac:dyDescent="0.3">
      <c r="B582" s="3">
        <v>40</v>
      </c>
      <c r="C582" s="3">
        <v>42</v>
      </c>
    </row>
    <row r="583" spans="2:3" x14ac:dyDescent="0.3">
      <c r="B583" s="3">
        <v>0</v>
      </c>
      <c r="C583" s="3">
        <v>0</v>
      </c>
    </row>
    <row r="584" spans="2:3" x14ac:dyDescent="0.3">
      <c r="B584" s="3">
        <v>30</v>
      </c>
      <c r="C584" s="3">
        <v>32</v>
      </c>
    </row>
    <row r="585" spans="2:3" x14ac:dyDescent="0.3">
      <c r="B585" s="3">
        <v>73</v>
      </c>
      <c r="C585" s="3">
        <v>47</v>
      </c>
    </row>
    <row r="586" spans="2:3" x14ac:dyDescent="0.3">
      <c r="B586" s="3">
        <v>47</v>
      </c>
      <c r="C586" s="3">
        <v>39</v>
      </c>
    </row>
    <row r="587" spans="2:3" x14ac:dyDescent="0.3">
      <c r="B587" s="3">
        <v>44</v>
      </c>
      <c r="C587" s="3">
        <v>36</v>
      </c>
    </row>
    <row r="588" spans="2:3" x14ac:dyDescent="0.3">
      <c r="B588" s="3">
        <v>19</v>
      </c>
      <c r="C588" s="3">
        <v>28</v>
      </c>
    </row>
    <row r="589" spans="2:3" x14ac:dyDescent="0.3">
      <c r="B589" s="3">
        <v>81</v>
      </c>
      <c r="C589" s="3">
        <v>41</v>
      </c>
    </row>
    <row r="590" spans="2:3" x14ac:dyDescent="0.3">
      <c r="B590" s="3">
        <v>28</v>
      </c>
      <c r="C590" s="3">
        <v>36</v>
      </c>
    </row>
    <row r="591" spans="2:3" x14ac:dyDescent="0.3">
      <c r="B591" s="3">
        <v>65</v>
      </c>
      <c r="C591" s="3">
        <v>46</v>
      </c>
    </row>
    <row r="592" spans="2:3" x14ac:dyDescent="0.3">
      <c r="B592" s="3">
        <v>37</v>
      </c>
      <c r="C592" s="3">
        <v>36</v>
      </c>
    </row>
    <row r="593" spans="2:3" x14ac:dyDescent="0.3">
      <c r="B593" s="3">
        <v>73</v>
      </c>
      <c r="C593" s="3">
        <v>37</v>
      </c>
    </row>
    <row r="594" spans="2:3" x14ac:dyDescent="0.3">
      <c r="B594" s="3">
        <v>76</v>
      </c>
      <c r="C594" s="3">
        <v>37</v>
      </c>
    </row>
    <row r="595" spans="2:3" x14ac:dyDescent="0.3">
      <c r="B595" s="3">
        <v>61</v>
      </c>
      <c r="C595" s="3">
        <v>38</v>
      </c>
    </row>
    <row r="596" spans="2:3" x14ac:dyDescent="0.3">
      <c r="B596" s="3">
        <v>61</v>
      </c>
      <c r="C596" s="3">
        <v>28</v>
      </c>
    </row>
    <row r="597" spans="2:3" x14ac:dyDescent="0.3">
      <c r="B597" s="3">
        <v>38</v>
      </c>
      <c r="C597" s="3">
        <v>43</v>
      </c>
    </row>
    <row r="598" spans="2:3" x14ac:dyDescent="0.3">
      <c r="B598" s="3">
        <v>84</v>
      </c>
      <c r="C598" s="3">
        <v>42</v>
      </c>
    </row>
    <row r="599" spans="2:3" x14ac:dyDescent="0.3">
      <c r="B599" s="3">
        <v>20</v>
      </c>
      <c r="C599" s="3">
        <v>32</v>
      </c>
    </row>
    <row r="600" spans="2:3" x14ac:dyDescent="0.3">
      <c r="B600" s="3">
        <v>72</v>
      </c>
      <c r="C600" s="3">
        <v>47</v>
      </c>
    </row>
    <row r="601" spans="2:3" x14ac:dyDescent="0.3">
      <c r="B601" s="3">
        <v>33</v>
      </c>
      <c r="C601" s="3">
        <v>47</v>
      </c>
    </row>
    <row r="602" spans="2:3" x14ac:dyDescent="0.3">
      <c r="B602" s="3">
        <v>13</v>
      </c>
      <c r="C602" s="3">
        <v>40</v>
      </c>
    </row>
    <row r="603" spans="2:3" x14ac:dyDescent="0.3">
      <c r="B603" s="3">
        <v>49</v>
      </c>
      <c r="C603" s="3">
        <v>31</v>
      </c>
    </row>
    <row r="604" spans="2:3" x14ac:dyDescent="0.3">
      <c r="B604" s="3">
        <v>12</v>
      </c>
      <c r="C604" s="3">
        <v>41</v>
      </c>
    </row>
    <row r="605" spans="2:3" x14ac:dyDescent="0.3">
      <c r="B605" s="3">
        <v>71</v>
      </c>
      <c r="C605" s="3">
        <v>35</v>
      </c>
    </row>
    <row r="606" spans="2:3" x14ac:dyDescent="0.3">
      <c r="B606" s="3">
        <v>84</v>
      </c>
      <c r="C606" s="3">
        <v>38</v>
      </c>
    </row>
    <row r="607" spans="2:3" x14ac:dyDescent="0.3">
      <c r="B607" s="3">
        <v>56</v>
      </c>
      <c r="C607" s="3">
        <v>47</v>
      </c>
    </row>
    <row r="608" spans="2:3" x14ac:dyDescent="0.3">
      <c r="B608" s="3">
        <v>19</v>
      </c>
      <c r="C608" s="3">
        <v>47</v>
      </c>
    </row>
    <row r="609" spans="2:3" x14ac:dyDescent="0.3">
      <c r="B609" s="3">
        <v>45</v>
      </c>
      <c r="C609" s="3">
        <v>38</v>
      </c>
    </row>
    <row r="610" spans="2:3" x14ac:dyDescent="0.3">
      <c r="B610" s="3">
        <v>23</v>
      </c>
      <c r="C610" s="3">
        <v>42</v>
      </c>
    </row>
    <row r="611" spans="2:3" x14ac:dyDescent="0.3">
      <c r="B611" s="3">
        <v>53</v>
      </c>
      <c r="C611" s="3">
        <v>43</v>
      </c>
    </row>
    <row r="612" spans="2:3" x14ac:dyDescent="0.3">
      <c r="B612" s="3">
        <v>26</v>
      </c>
      <c r="C612" s="3">
        <v>45</v>
      </c>
    </row>
    <row r="613" spans="2:3" x14ac:dyDescent="0.3">
      <c r="B613" s="3">
        <v>37</v>
      </c>
      <c r="C613" s="3">
        <v>40</v>
      </c>
    </row>
    <row r="614" spans="2:3" x14ac:dyDescent="0.3">
      <c r="B614" s="3">
        <v>47</v>
      </c>
      <c r="C614" s="3">
        <v>36</v>
      </c>
    </row>
    <row r="615" spans="2:3" x14ac:dyDescent="0.3">
      <c r="B615" s="3">
        <v>49</v>
      </c>
      <c r="C615" s="3">
        <v>38</v>
      </c>
    </row>
    <row r="616" spans="2:3" x14ac:dyDescent="0.3">
      <c r="B616" s="3">
        <v>72</v>
      </c>
      <c r="C616" s="3">
        <v>42</v>
      </c>
    </row>
    <row r="617" spans="2:3" x14ac:dyDescent="0.3">
      <c r="B617" s="3">
        <v>51</v>
      </c>
      <c r="C617" s="3">
        <v>37</v>
      </c>
    </row>
    <row r="618" spans="2:3" x14ac:dyDescent="0.3">
      <c r="B618" s="3">
        <v>35</v>
      </c>
      <c r="C618" s="3">
        <v>43</v>
      </c>
    </row>
    <row r="619" spans="2:3" x14ac:dyDescent="0.3">
      <c r="B619" s="3">
        <v>72</v>
      </c>
      <c r="C619" s="3">
        <v>33</v>
      </c>
    </row>
    <row r="620" spans="2:3" x14ac:dyDescent="0.3">
      <c r="B620" s="3">
        <v>44</v>
      </c>
      <c r="C620" s="3">
        <v>40</v>
      </c>
    </row>
    <row r="621" spans="2:3" x14ac:dyDescent="0.3">
      <c r="B621" s="3">
        <v>56</v>
      </c>
      <c r="C621" s="3">
        <v>39</v>
      </c>
    </row>
    <row r="622" spans="2:3" x14ac:dyDescent="0.3">
      <c r="B622" s="3">
        <v>15</v>
      </c>
      <c r="C622" s="3">
        <v>34</v>
      </c>
    </row>
    <row r="623" spans="2:3" x14ac:dyDescent="0.3">
      <c r="B623" s="3">
        <v>40</v>
      </c>
      <c r="C623" s="3">
        <v>30</v>
      </c>
    </row>
    <row r="624" spans="2:3" x14ac:dyDescent="0.3">
      <c r="B624" s="3">
        <v>36</v>
      </c>
      <c r="C624" s="3">
        <v>44</v>
      </c>
    </row>
    <row r="625" spans="2:3" x14ac:dyDescent="0.3">
      <c r="B625" s="3">
        <v>37</v>
      </c>
      <c r="C625" s="3">
        <v>27</v>
      </c>
    </row>
    <row r="626" spans="2:3" x14ac:dyDescent="0.3">
      <c r="B626" s="3">
        <v>58</v>
      </c>
      <c r="C626" s="3">
        <v>46</v>
      </c>
    </row>
    <row r="627" spans="2:3" x14ac:dyDescent="0.3">
      <c r="B627" s="3">
        <v>30</v>
      </c>
      <c r="C627" s="3">
        <v>30</v>
      </c>
    </row>
    <row r="628" spans="2:3" x14ac:dyDescent="0.3">
      <c r="B628" s="3">
        <v>68</v>
      </c>
      <c r="C628" s="3">
        <v>41</v>
      </c>
    </row>
    <row r="629" spans="2:3" x14ac:dyDescent="0.3">
      <c r="B629" s="3">
        <v>58</v>
      </c>
      <c r="C629" s="3">
        <v>33</v>
      </c>
    </row>
    <row r="630" spans="2:3" x14ac:dyDescent="0.3">
      <c r="B630" s="3">
        <v>63</v>
      </c>
      <c r="C630" s="3">
        <v>31</v>
      </c>
    </row>
    <row r="631" spans="2:3" x14ac:dyDescent="0.3">
      <c r="B631" s="3">
        <v>18</v>
      </c>
      <c r="C631" s="3">
        <v>36</v>
      </c>
    </row>
    <row r="632" spans="2:3" x14ac:dyDescent="0.3">
      <c r="B632" s="3">
        <v>83</v>
      </c>
      <c r="C632" s="3">
        <v>39</v>
      </c>
    </row>
    <row r="633" spans="2:3" x14ac:dyDescent="0.3">
      <c r="B633" s="3">
        <v>54</v>
      </c>
      <c r="C633" s="3">
        <v>42</v>
      </c>
    </row>
    <row r="634" spans="2:3" x14ac:dyDescent="0.3">
      <c r="B634" s="3">
        <v>43</v>
      </c>
      <c r="C634" s="3">
        <v>0</v>
      </c>
    </row>
    <row r="635" spans="2:3" x14ac:dyDescent="0.3">
      <c r="B635" s="3">
        <v>51</v>
      </c>
      <c r="C635" s="3">
        <v>32</v>
      </c>
    </row>
    <row r="636" spans="2:3" x14ac:dyDescent="0.3">
      <c r="B636" s="3">
        <v>45</v>
      </c>
      <c r="C636" s="3">
        <v>37</v>
      </c>
    </row>
    <row r="637" spans="2:3" x14ac:dyDescent="0.3">
      <c r="B637" s="3">
        <v>40</v>
      </c>
      <c r="C637" s="3">
        <v>38</v>
      </c>
    </row>
    <row r="638" spans="2:3" x14ac:dyDescent="0.3">
      <c r="B638" s="3">
        <v>36</v>
      </c>
      <c r="C638" s="3">
        <v>45</v>
      </c>
    </row>
    <row r="639" spans="2:3" x14ac:dyDescent="0.3">
      <c r="B639" s="3">
        <v>0</v>
      </c>
      <c r="C639" s="3">
        <v>35</v>
      </c>
    </row>
    <row r="640" spans="2:3" x14ac:dyDescent="0.3">
      <c r="B640" s="3">
        <v>47</v>
      </c>
      <c r="C640" s="3">
        <v>45</v>
      </c>
    </row>
    <row r="641" spans="2:3" x14ac:dyDescent="0.3">
      <c r="B641" s="3">
        <v>40</v>
      </c>
      <c r="C641" s="3">
        <v>43</v>
      </c>
    </row>
    <row r="642" spans="2:3" x14ac:dyDescent="0.3">
      <c r="B642" s="3">
        <v>48</v>
      </c>
      <c r="C642" s="3">
        <v>41</v>
      </c>
    </row>
    <row r="643" spans="2:3" x14ac:dyDescent="0.3">
      <c r="B643" s="3">
        <v>19</v>
      </c>
      <c r="C643" s="3">
        <v>40</v>
      </c>
    </row>
    <row r="644" spans="2:3" x14ac:dyDescent="0.3">
      <c r="B644" s="3">
        <v>14</v>
      </c>
      <c r="C644" s="3">
        <v>40</v>
      </c>
    </row>
    <row r="645" spans="2:3" x14ac:dyDescent="0.3">
      <c r="B645" s="3">
        <v>72</v>
      </c>
      <c r="C645" s="3">
        <v>39</v>
      </c>
    </row>
    <row r="646" spans="2:3" x14ac:dyDescent="0.3">
      <c r="B646" s="3">
        <v>12</v>
      </c>
      <c r="C646" s="3">
        <v>43</v>
      </c>
    </row>
    <row r="647" spans="2:3" x14ac:dyDescent="0.3">
      <c r="B647" s="3">
        <v>70</v>
      </c>
      <c r="C647" s="3">
        <v>34</v>
      </c>
    </row>
    <row r="648" spans="2:3" x14ac:dyDescent="0.3">
      <c r="B648" s="3">
        <v>62</v>
      </c>
      <c r="C648" s="3">
        <v>41</v>
      </c>
    </row>
    <row r="649" spans="2:3" x14ac:dyDescent="0.3">
      <c r="B649" s="3">
        <v>48</v>
      </c>
      <c r="C649" s="3">
        <v>39</v>
      </c>
    </row>
    <row r="650" spans="2:3" x14ac:dyDescent="0.3">
      <c r="B650" s="3">
        <v>36</v>
      </c>
      <c r="C650" s="3">
        <v>44</v>
      </c>
    </row>
    <row r="651" spans="2:3" x14ac:dyDescent="0.3">
      <c r="B651" s="3">
        <v>41</v>
      </c>
      <c r="C651" s="3">
        <v>28</v>
      </c>
    </row>
    <row r="652" spans="2:3" x14ac:dyDescent="0.3">
      <c r="B652" s="3">
        <v>84</v>
      </c>
      <c r="C652" s="3">
        <v>38</v>
      </c>
    </row>
    <row r="653" spans="2:3" x14ac:dyDescent="0.3">
      <c r="B653" s="3">
        <v>16</v>
      </c>
      <c r="C653" s="3">
        <v>36</v>
      </c>
    </row>
    <row r="654" spans="2:3" x14ac:dyDescent="0.3">
      <c r="B654" s="3">
        <v>25</v>
      </c>
      <c r="C654" s="3">
        <v>42</v>
      </c>
    </row>
    <row r="655" spans="2:3" x14ac:dyDescent="0.3">
      <c r="B655" s="3">
        <v>66</v>
      </c>
      <c r="C655" s="3">
        <v>36</v>
      </c>
    </row>
    <row r="656" spans="2:3" x14ac:dyDescent="0.3">
      <c r="B656" s="3">
        <v>47</v>
      </c>
      <c r="C656" s="3">
        <v>37</v>
      </c>
    </row>
    <row r="657" spans="2:3" x14ac:dyDescent="0.3">
      <c r="B657" s="3">
        <v>54</v>
      </c>
      <c r="C657" s="3">
        <v>44</v>
      </c>
    </row>
    <row r="658" spans="2:3" x14ac:dyDescent="0.3">
      <c r="B658" s="3">
        <v>49</v>
      </c>
      <c r="C658" s="3">
        <v>37</v>
      </c>
    </row>
    <row r="659" spans="2:3" x14ac:dyDescent="0.3">
      <c r="B659" s="3">
        <v>31</v>
      </c>
      <c r="C659" s="3">
        <v>35</v>
      </c>
    </row>
    <row r="660" spans="2:3" x14ac:dyDescent="0.3">
      <c r="B660" s="3">
        <v>66</v>
      </c>
      <c r="C660" s="3">
        <v>36</v>
      </c>
    </row>
    <row r="661" spans="2:3" x14ac:dyDescent="0.3">
      <c r="B661" s="3">
        <v>40</v>
      </c>
      <c r="C661" s="3">
        <v>35</v>
      </c>
    </row>
    <row r="662" spans="2:3" x14ac:dyDescent="0.3">
      <c r="B662" s="3">
        <v>30</v>
      </c>
      <c r="C662" s="3">
        <v>41</v>
      </c>
    </row>
    <row r="663" spans="2:3" x14ac:dyDescent="0.3">
      <c r="B663" s="3">
        <v>42</v>
      </c>
      <c r="C663" s="3">
        <v>42</v>
      </c>
    </row>
    <row r="664" spans="2:3" x14ac:dyDescent="0.3">
      <c r="B664" s="3">
        <v>55</v>
      </c>
      <c r="C664" s="3">
        <v>41</v>
      </c>
    </row>
    <row r="665" spans="2:3" x14ac:dyDescent="0.3">
      <c r="B665" s="3">
        <v>19</v>
      </c>
      <c r="C665" s="3">
        <v>34</v>
      </c>
    </row>
    <row r="666" spans="2:3" x14ac:dyDescent="0.3">
      <c r="B666" s="3">
        <v>27</v>
      </c>
      <c r="C666" s="3">
        <v>41</v>
      </c>
    </row>
    <row r="667" spans="2:3" x14ac:dyDescent="0.3">
      <c r="B667" s="3">
        <v>80</v>
      </c>
      <c r="C667" s="3">
        <v>35</v>
      </c>
    </row>
    <row r="668" spans="2:3" x14ac:dyDescent="0.3">
      <c r="B668" s="3">
        <v>24</v>
      </c>
      <c r="C668" s="3">
        <v>40</v>
      </c>
    </row>
    <row r="669" spans="2:3" x14ac:dyDescent="0.3">
      <c r="B669" s="3">
        <v>67</v>
      </c>
      <c r="C669" s="3">
        <v>39</v>
      </c>
    </row>
    <row r="670" spans="2:3" x14ac:dyDescent="0.3">
      <c r="B670" s="3">
        <v>62</v>
      </c>
      <c r="C670" s="3">
        <v>41</v>
      </c>
    </row>
    <row r="671" spans="2:3" x14ac:dyDescent="0.3">
      <c r="B671" s="3">
        <v>35</v>
      </c>
      <c r="C671" s="3">
        <v>35</v>
      </c>
    </row>
    <row r="672" spans="2:3" x14ac:dyDescent="0.3">
      <c r="B672" s="3">
        <v>82</v>
      </c>
      <c r="C672" s="3">
        <v>44</v>
      </c>
    </row>
    <row r="673" spans="2:3" x14ac:dyDescent="0.3">
      <c r="B673" s="3">
        <v>13</v>
      </c>
      <c r="C673" s="3">
        <v>33</v>
      </c>
    </row>
    <row r="674" spans="2:3" x14ac:dyDescent="0.3">
      <c r="B674" s="3">
        <v>24</v>
      </c>
      <c r="C674" s="3">
        <v>40</v>
      </c>
    </row>
    <row r="675" spans="2:3" x14ac:dyDescent="0.3">
      <c r="B675" s="3">
        <v>45</v>
      </c>
      <c r="C675" s="3">
        <v>42</v>
      </c>
    </row>
    <row r="676" spans="2:3" x14ac:dyDescent="0.3">
      <c r="B676" s="3">
        <v>60</v>
      </c>
      <c r="C676" s="3">
        <v>46</v>
      </c>
    </row>
    <row r="677" spans="2:3" x14ac:dyDescent="0.3">
      <c r="B677" s="3">
        <v>78</v>
      </c>
      <c r="C677" s="3">
        <v>47</v>
      </c>
    </row>
    <row r="678" spans="2:3" x14ac:dyDescent="0.3">
      <c r="B678" s="3">
        <v>37</v>
      </c>
      <c r="C678" s="3">
        <v>26</v>
      </c>
    </row>
    <row r="679" spans="2:3" x14ac:dyDescent="0.3">
      <c r="B679" s="3">
        <v>84</v>
      </c>
      <c r="C679" s="3">
        <v>35</v>
      </c>
    </row>
    <row r="680" spans="2:3" x14ac:dyDescent="0.3">
      <c r="B680" s="3">
        <v>62</v>
      </c>
      <c r="C680" s="3">
        <v>43</v>
      </c>
    </row>
    <row r="681" spans="2:3" x14ac:dyDescent="0.3">
      <c r="B681" s="3">
        <v>72</v>
      </c>
      <c r="C681" s="3">
        <v>44</v>
      </c>
    </row>
    <row r="682" spans="2:3" x14ac:dyDescent="0.3">
      <c r="B682" s="3">
        <v>46</v>
      </c>
      <c r="C682" s="3">
        <v>33</v>
      </c>
    </row>
    <row r="683" spans="2:3" x14ac:dyDescent="0.3">
      <c r="B683" s="3">
        <v>25</v>
      </c>
      <c r="C683" s="3">
        <v>43</v>
      </c>
    </row>
    <row r="684" spans="2:3" x14ac:dyDescent="0.3">
      <c r="B684" s="3">
        <v>50</v>
      </c>
      <c r="C684" s="3">
        <v>34</v>
      </c>
    </row>
    <row r="685" spans="2:3" x14ac:dyDescent="0.3">
      <c r="B685" s="3">
        <v>17</v>
      </c>
      <c r="C685" s="3">
        <v>36</v>
      </c>
    </row>
    <row r="686" spans="2:3" x14ac:dyDescent="0.3">
      <c r="B686" s="3">
        <v>60</v>
      </c>
      <c r="C686" s="3">
        <v>36</v>
      </c>
    </row>
    <row r="687" spans="2:3" x14ac:dyDescent="0.3">
      <c r="B687" s="3">
        <v>47</v>
      </c>
      <c r="C687" s="3">
        <v>47</v>
      </c>
    </row>
    <row r="688" spans="2:3" x14ac:dyDescent="0.3">
      <c r="B688" s="3">
        <v>58</v>
      </c>
      <c r="C688" s="3">
        <v>45</v>
      </c>
    </row>
    <row r="689" spans="2:3" x14ac:dyDescent="0.3">
      <c r="B689" s="3">
        <v>72</v>
      </c>
      <c r="C689" s="3">
        <v>31</v>
      </c>
    </row>
    <row r="690" spans="2:3" x14ac:dyDescent="0.3">
      <c r="B690" s="3">
        <v>24</v>
      </c>
      <c r="C690" s="3">
        <v>36</v>
      </c>
    </row>
    <row r="691" spans="2:3" x14ac:dyDescent="0.3">
      <c r="B691" s="3">
        <v>48</v>
      </c>
      <c r="C691" s="3">
        <v>38</v>
      </c>
    </row>
    <row r="692" spans="2:3" x14ac:dyDescent="0.3">
      <c r="B692" s="3">
        <v>0</v>
      </c>
      <c r="C692" s="3">
        <v>27</v>
      </c>
    </row>
    <row r="693" spans="2:3" x14ac:dyDescent="0.3">
      <c r="B693" s="3">
        <v>94</v>
      </c>
      <c r="C693" s="3">
        <v>49</v>
      </c>
    </row>
    <row r="694" spans="2:3" x14ac:dyDescent="0.3">
      <c r="B694" s="3">
        <v>58</v>
      </c>
      <c r="C694" s="3">
        <v>30</v>
      </c>
    </row>
    <row r="695" spans="2:3" x14ac:dyDescent="0.3">
      <c r="B695" s="3">
        <v>21</v>
      </c>
      <c r="C695" s="3">
        <v>41</v>
      </c>
    </row>
    <row r="696" spans="2:3" x14ac:dyDescent="0.3">
      <c r="B696" s="3">
        <v>65</v>
      </c>
      <c r="C696" s="3">
        <v>33</v>
      </c>
    </row>
    <row r="697" spans="2:3" x14ac:dyDescent="0.3">
      <c r="B697" s="3">
        <v>26</v>
      </c>
      <c r="C697" s="3">
        <v>40</v>
      </c>
    </row>
    <row r="698" spans="2:3" x14ac:dyDescent="0.3">
      <c r="B698" s="3">
        <v>46</v>
      </c>
      <c r="C698" s="3">
        <v>32</v>
      </c>
    </row>
    <row r="699" spans="2:3" x14ac:dyDescent="0.3">
      <c r="B699" s="3">
        <v>48</v>
      </c>
      <c r="C699" s="3">
        <v>41</v>
      </c>
    </row>
    <row r="700" spans="2:3" x14ac:dyDescent="0.3">
      <c r="B700" s="3">
        <v>40</v>
      </c>
      <c r="C700" s="3">
        <v>0</v>
      </c>
    </row>
    <row r="701" spans="2:3" x14ac:dyDescent="0.3">
      <c r="B701" s="3">
        <v>22</v>
      </c>
      <c r="C701" s="3">
        <v>20</v>
      </c>
    </row>
    <row r="702" spans="2:3" x14ac:dyDescent="0.3">
      <c r="B702" s="3">
        <v>0</v>
      </c>
      <c r="C702" s="3">
        <v>41</v>
      </c>
    </row>
    <row r="703" spans="2:3" x14ac:dyDescent="0.3">
      <c r="B703" s="3">
        <v>68</v>
      </c>
      <c r="C703" s="3">
        <v>46</v>
      </c>
    </row>
    <row r="704" spans="2:3" x14ac:dyDescent="0.3">
      <c r="B704" s="3">
        <v>64</v>
      </c>
      <c r="C704" s="3">
        <v>38</v>
      </c>
    </row>
    <row r="705" spans="2:3" x14ac:dyDescent="0.3">
      <c r="B705" s="3">
        <v>52</v>
      </c>
      <c r="C705" s="3">
        <v>44</v>
      </c>
    </row>
    <row r="706" spans="2:3" x14ac:dyDescent="0.3">
      <c r="B706" s="3">
        <v>0</v>
      </c>
      <c r="C706" s="3">
        <v>0</v>
      </c>
    </row>
    <row r="707" spans="2:3" x14ac:dyDescent="0.3">
      <c r="B707" s="3">
        <v>85</v>
      </c>
      <c r="C707" s="3">
        <v>43</v>
      </c>
    </row>
    <row r="708" spans="2:3" x14ac:dyDescent="0.3">
      <c r="B708" s="3">
        <v>40</v>
      </c>
      <c r="C708" s="3">
        <v>37</v>
      </c>
    </row>
    <row r="709" spans="2:3" x14ac:dyDescent="0.3">
      <c r="B709" s="3">
        <v>51</v>
      </c>
      <c r="C709" s="3">
        <v>35</v>
      </c>
    </row>
    <row r="710" spans="2:3" x14ac:dyDescent="0.3">
      <c r="B710" s="3">
        <v>7</v>
      </c>
      <c r="C710" s="3">
        <v>23</v>
      </c>
    </row>
    <row r="711" spans="2:3" x14ac:dyDescent="0.3">
      <c r="B711" s="3">
        <v>76</v>
      </c>
      <c r="C711" s="3">
        <v>43</v>
      </c>
    </row>
    <row r="712" spans="2:3" x14ac:dyDescent="0.3">
      <c r="B712" s="3">
        <v>26</v>
      </c>
      <c r="C712" s="3">
        <v>22</v>
      </c>
    </row>
    <row r="713" spans="2:3" x14ac:dyDescent="0.3">
      <c r="B713" s="4">
        <v>0</v>
      </c>
      <c r="C713" s="4">
        <v>34</v>
      </c>
    </row>
  </sheetData>
  <conditionalFormatting sqref="A5:A97">
    <cfRule type="expression" dxfId="2" priority="4">
      <formula>"&lt;30"</formula>
    </cfRule>
  </conditionalFormatting>
  <conditionalFormatting sqref="A5:A97">
    <cfRule type="expression" priority="6">
      <formula>$C$7&lt;30 &amp; $D$7&gt;40</formula>
    </cfRule>
  </conditionalFormatting>
  <conditionalFormatting sqref="B4:C713">
    <cfRule type="expression" priority="3">
      <formula>$C$8&lt;30 &amp; $D$8&gt;40</formula>
    </cfRule>
  </conditionalFormatting>
  <conditionalFormatting sqref="B4">
    <cfRule type="expression" dxfId="1" priority="2">
      <formula>"&lt;30"</formula>
    </cfRule>
  </conditionalFormatting>
  <conditionalFormatting sqref="B4:C713">
    <cfRule type="expression" dxfId="0" priority="1">
      <formula>"&lt;30"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Unemployment</vt:lpstr>
      <vt:lpstr>Sales</vt:lpstr>
      <vt:lpstr>Sheet1</vt:lpstr>
      <vt:lpstr>Export</vt:lpstr>
      <vt:lpstr>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Olmas Isakov</dc:creator>
  <cp:lastModifiedBy>Пользователь</cp:lastModifiedBy>
  <dcterms:created xsi:type="dcterms:W3CDTF">2020-01-16T06:50:01Z</dcterms:created>
  <dcterms:modified xsi:type="dcterms:W3CDTF">2020-03-12T15:53:38Z</dcterms:modified>
</cp:coreProperties>
</file>