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7717\"/>
    </mc:Choice>
  </mc:AlternateContent>
  <xr:revisionPtr revIDLastSave="0" documentId="13_ncr:1_{11A05E0C-8F6D-463D-A8B1-67F6C3AACD4D}" xr6:coauthVersionLast="45" xr6:coauthVersionMax="45" xr10:uidLastSave="{00000000-0000-0000-0000-000000000000}"/>
  <bookViews>
    <workbookView xWindow="-108" yWindow="-108" windowWidth="23256" windowHeight="12576" activeTab="4" xr2:uid="{00000000-000D-0000-FFFF-FFFF00000000}"/>
  </bookViews>
  <sheets>
    <sheet name="Data Description" sheetId="4" r:id="rId1"/>
    <sheet name="Housing" sheetId="1" r:id="rId2"/>
    <sheet name="ex 1" sheetId="5" r:id="rId3"/>
    <sheet name="ex 2" sheetId="6" r:id="rId4"/>
    <sheet name="ex 3" sheetId="7" r:id="rId5"/>
  </sheets>
  <definedNames>
    <definedName name="_xlnm._FilterDatabase" localSheetId="1" hidden="1">Housing!$A$1:$I$50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8" i="7" l="1"/>
  <c r="W47" i="7"/>
  <c r="W46" i="7"/>
  <c r="BD22" i="6" l="1"/>
  <c r="BE21" i="6"/>
  <c r="BD9" i="6"/>
  <c r="BE8" i="6"/>
  <c r="AW9" i="6"/>
  <c r="AW8" i="6"/>
  <c r="AR2" i="6"/>
  <c r="AG31" i="6"/>
  <c r="AG30" i="6"/>
  <c r="AG29" i="6"/>
  <c r="AG28" i="6"/>
  <c r="AG27" i="6"/>
  <c r="AG26" i="6"/>
  <c r="AG25" i="6"/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E2" i="6"/>
  <c r="H2" i="6"/>
  <c r="G2" i="6"/>
  <c r="F2" i="6"/>
  <c r="BF8" i="5"/>
  <c r="BF7" i="5"/>
  <c r="AP24" i="5"/>
  <c r="AP23" i="5"/>
</calcChain>
</file>

<file path=xl/sharedStrings.xml><?xml version="1.0" encoding="utf-8"?>
<sst xmlns="http://schemas.openxmlformats.org/spreadsheetml/2006/main" count="1012" uniqueCount="160">
  <si>
    <t>Rooms</t>
  </si>
  <si>
    <t>Bathrooms</t>
  </si>
  <si>
    <t>Condition</t>
  </si>
  <si>
    <t>Floor</t>
  </si>
  <si>
    <t>Price ($)</t>
  </si>
  <si>
    <r>
      <t>Size (m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  <r>
      <rPr>
        <b/>
        <sz val="11"/>
        <color theme="1"/>
        <rFont val="Calibri"/>
        <family val="2"/>
        <charset val="204"/>
        <scheme val="minor"/>
      </rPr>
      <t>)</t>
    </r>
  </si>
  <si>
    <t>Chilanzar</t>
  </si>
  <si>
    <t>Good</t>
  </si>
  <si>
    <t>Middle</t>
  </si>
  <si>
    <t>First</t>
  </si>
  <si>
    <t>Structure</t>
  </si>
  <si>
    <t>Masonry</t>
  </si>
  <si>
    <t>Concrete</t>
  </si>
  <si>
    <t>Sergeli</t>
  </si>
  <si>
    <t>Excellent</t>
  </si>
  <si>
    <t>Poor</t>
  </si>
  <si>
    <t>Top</t>
  </si>
  <si>
    <t>Yunusabad</t>
  </si>
  <si>
    <t>Mirabad</t>
  </si>
  <si>
    <t>Data Description for housing data</t>
  </si>
  <si>
    <t>This data was randomly selected from website "www.olx.uz" for analysis of housing prices in Tashkent.</t>
  </si>
  <si>
    <r>
      <rPr>
        <b/>
        <sz val="11"/>
        <color theme="1"/>
        <rFont val="Calibri"/>
        <family val="2"/>
        <charset val="204"/>
        <scheme val="minor"/>
      </rPr>
      <t>Size</t>
    </r>
    <r>
      <rPr>
        <sz val="11"/>
        <color theme="1"/>
        <rFont val="Calibri"/>
        <family val="2"/>
        <scheme val="minor"/>
      </rPr>
      <t xml:space="preserve"> - size of the unit measured in square meters (m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).</t>
    </r>
  </si>
  <si>
    <r>
      <rPr>
        <b/>
        <sz val="11"/>
        <color theme="1"/>
        <rFont val="Calibri"/>
        <family val="2"/>
        <charset val="204"/>
        <scheme val="minor"/>
      </rPr>
      <t>Rooms</t>
    </r>
    <r>
      <rPr>
        <sz val="11"/>
        <color theme="1"/>
        <rFont val="Calibri"/>
        <family val="2"/>
        <scheme val="minor"/>
      </rPr>
      <t xml:space="preserve"> - number of rooms in the unit.</t>
    </r>
  </si>
  <si>
    <r>
      <rPr>
        <b/>
        <sz val="11"/>
        <color theme="1"/>
        <rFont val="Calibri"/>
        <family val="2"/>
        <charset val="204"/>
        <scheme val="minor"/>
      </rPr>
      <t>Bathrooms</t>
    </r>
    <r>
      <rPr>
        <sz val="11"/>
        <color theme="1"/>
        <rFont val="Calibri"/>
        <family val="2"/>
        <scheme val="minor"/>
      </rPr>
      <t xml:space="preserve"> - number of bathrooms in the unit.</t>
    </r>
  </si>
  <si>
    <r>
      <rPr>
        <b/>
        <sz val="11"/>
        <color theme="1"/>
        <rFont val="Calibri"/>
        <family val="2"/>
        <charset val="204"/>
        <scheme val="minor"/>
      </rPr>
      <t>Structure</t>
    </r>
    <r>
      <rPr>
        <sz val="11"/>
        <color theme="1"/>
        <rFont val="Calibri"/>
        <family val="2"/>
        <scheme val="minor"/>
      </rPr>
      <t xml:space="preserve"> - only two types of building structures are selected: masonry (bricks) and concrete.</t>
    </r>
  </si>
  <si>
    <r>
      <rPr>
        <b/>
        <sz val="11"/>
        <color theme="1"/>
        <rFont val="Calibri"/>
        <family val="2"/>
        <charset val="204"/>
        <scheme val="minor"/>
      </rPr>
      <t>Condition</t>
    </r>
    <r>
      <rPr>
        <sz val="11"/>
        <color theme="1"/>
        <rFont val="Calibri"/>
        <family val="2"/>
        <scheme val="minor"/>
      </rPr>
      <t xml:space="preserve"> - condition of the apartment unit. Three categorical levels were created: poor (needs remodeling), good and excellent.</t>
    </r>
  </si>
  <si>
    <t>All observations are obtained from secondary market for multifloor apartment units.</t>
  </si>
  <si>
    <t>The data provides information about the following variables:</t>
  </si>
  <si>
    <r>
      <rPr>
        <b/>
        <sz val="11"/>
        <color theme="1"/>
        <rFont val="Calibri"/>
        <family val="2"/>
        <charset val="204"/>
        <scheme val="minor"/>
      </rPr>
      <t>Price</t>
    </r>
    <r>
      <rPr>
        <sz val="11"/>
        <color theme="1"/>
        <rFont val="Calibri"/>
        <family val="2"/>
        <scheme val="minor"/>
      </rPr>
      <t xml:space="preserve"> - the asking price for the listed unit expressed in US dollars ($).</t>
    </r>
  </si>
  <si>
    <r>
      <rPr>
        <b/>
        <sz val="11"/>
        <color theme="1"/>
        <rFont val="Calibri"/>
        <family val="2"/>
        <charset val="204"/>
        <scheme val="minor"/>
      </rPr>
      <t>District</t>
    </r>
    <r>
      <rPr>
        <sz val="11"/>
        <color theme="1"/>
        <rFont val="Calibri"/>
        <family val="2"/>
        <scheme val="minor"/>
      </rPr>
      <t xml:space="preserve"> - selected districts in Tashkent. The following districts are selected: Chilanzar, Mirabad, Sergeli, Yunusabad.</t>
    </r>
  </si>
  <si>
    <t>Data Row</t>
  </si>
  <si>
    <t>District</t>
  </si>
  <si>
    <r>
      <rPr>
        <b/>
        <sz val="11"/>
        <color theme="1"/>
        <rFont val="Calibri"/>
        <family val="2"/>
        <charset val="204"/>
        <scheme val="minor"/>
      </rPr>
      <t>Floor</t>
    </r>
    <r>
      <rPr>
        <sz val="11"/>
        <color theme="1"/>
        <rFont val="Calibri"/>
        <family val="2"/>
        <scheme val="minor"/>
      </rPr>
      <t xml:space="preserve"> - floor location of the apartment. Three categorical levels were created: first (first floor), top (top floor), middle (between first and top floors).</t>
    </r>
  </si>
  <si>
    <t>a)</t>
  </si>
  <si>
    <t>Mean</t>
  </si>
  <si>
    <t>Median</t>
  </si>
  <si>
    <t>Mode</t>
  </si>
  <si>
    <t>Skewness</t>
  </si>
  <si>
    <t>Standard Error</t>
  </si>
  <si>
    <t>Standard Deviation</t>
  </si>
  <si>
    <t>Sample Variance</t>
  </si>
  <si>
    <t>Kurtosis</t>
  </si>
  <si>
    <t>Range</t>
  </si>
  <si>
    <t>Minimum</t>
  </si>
  <si>
    <t>Maximum</t>
  </si>
  <si>
    <t>Sum</t>
  </si>
  <si>
    <t>Count</t>
  </si>
  <si>
    <t>Confidence Level(90.0%)</t>
  </si>
  <si>
    <t>Size (m2)</t>
  </si>
  <si>
    <t>Frequency</t>
  </si>
  <si>
    <t>Bin Range</t>
  </si>
  <si>
    <t>More</t>
  </si>
  <si>
    <t>b)</t>
  </si>
  <si>
    <t>c)</t>
  </si>
  <si>
    <t>d)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</si>
  <si>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</si>
  <si>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</si>
  <si>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</si>
  <si>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</si>
  <si>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</si>
  <si>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</si>
  <si>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</si>
  <si>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</si>
  <si>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</si>
  <si>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</si>
  <si>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</si>
  <si>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</si>
  <si>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</si>
  <si>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</si>
  <si>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</si>
  <si>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</si>
  <si>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</si>
  <si>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</si>
  <si>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</si>
  <si>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</si>
  <si>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</si>
  <si>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90.0%</t>
  </si>
  <si>
    <t>Upper 90.0%</t>
  </si>
  <si>
    <t>b0 =</t>
  </si>
  <si>
    <t xml:space="preserve">b1 = </t>
  </si>
  <si>
    <t>e)</t>
  </si>
  <si>
    <t>f)</t>
  </si>
  <si>
    <t>Rejection Region:</t>
  </si>
  <si>
    <t>t-crit =</t>
  </si>
  <si>
    <t>t-stat &gt;= t-crit</t>
  </si>
  <si>
    <t>t-stat &gt; t-crit</t>
  </si>
  <si>
    <t>t-stat =</t>
  </si>
  <si>
    <t>We reject H0</t>
  </si>
  <si>
    <t>There is significant relationship between Size and Price</t>
  </si>
  <si>
    <t>α = 0.01</t>
  </si>
  <si>
    <t>α = 0.1</t>
  </si>
  <si>
    <t>General linear model:</t>
  </si>
  <si>
    <t>Fitted linear model:</t>
  </si>
  <si>
    <t>Price(y) = b0 +b1*Size(x1) + b2*Rooms(x2) + b3*Masonry(x3) + b4*Chilanzar(x4) + b5*Sergeli(x5) + b6*Mirabad(x6)</t>
  </si>
  <si>
    <t>Price(y) = β0 +β1*Size(x1) + β2*Rooms(x2) + β3*Masonry(x3) + β4*Chilanzar(x4) + β5*Sergeli(x5) + β6*Mirabad(x6) + ε</t>
  </si>
  <si>
    <t>Lower 99.0%</t>
  </si>
  <si>
    <t>Upper 99.0%</t>
  </si>
  <si>
    <t>b1 =</t>
  </si>
  <si>
    <t>b2 =</t>
  </si>
  <si>
    <t>b3 =</t>
  </si>
  <si>
    <t>b4 =</t>
  </si>
  <si>
    <t>b5 =</t>
  </si>
  <si>
    <t>b6 =</t>
  </si>
  <si>
    <t>Adjusted R Square =</t>
  </si>
  <si>
    <t>Test for overall significance of the model</t>
  </si>
  <si>
    <t>H0:</t>
  </si>
  <si>
    <t>Ha:</t>
  </si>
  <si>
    <t>β1=β2=β3=β4=β5=β6=0</t>
  </si>
  <si>
    <t>at least one of the parameters is 0</t>
  </si>
  <si>
    <t>Rejection region</t>
  </si>
  <si>
    <t>If p-value &lt;= α reject H0 else fail to reject H0</t>
  </si>
  <si>
    <t>p-value =</t>
  </si>
  <si>
    <t>α =</t>
  </si>
  <si>
    <t>p-value &lt; α</t>
  </si>
  <si>
    <t>Reject H0</t>
  </si>
  <si>
    <t>β1=0</t>
  </si>
  <si>
    <r>
      <t>β1</t>
    </r>
    <r>
      <rPr>
        <sz val="11"/>
        <color theme="1"/>
        <rFont val="Calibri"/>
        <family val="2"/>
        <charset val="204"/>
      </rPr>
      <t>≠</t>
    </r>
    <r>
      <rPr>
        <sz val="11"/>
        <color theme="1"/>
        <rFont val="Calibri"/>
        <family val="2"/>
        <scheme val="minor"/>
      </rPr>
      <t>0</t>
    </r>
  </si>
  <si>
    <t>p-value for Size =</t>
  </si>
  <si>
    <t>p-value for Rooms =</t>
  </si>
  <si>
    <t>Fail to reject H0</t>
  </si>
  <si>
    <t>p-value &gt; α</t>
  </si>
  <si>
    <t>β2=0</t>
  </si>
  <si>
    <r>
      <t>β2</t>
    </r>
    <r>
      <rPr>
        <sz val="11"/>
        <color theme="1"/>
        <rFont val="Calibri"/>
        <family val="2"/>
        <charset val="204"/>
      </rPr>
      <t>≠</t>
    </r>
    <r>
      <rPr>
        <sz val="11"/>
        <color theme="1"/>
        <rFont val="Calibri"/>
        <family val="2"/>
        <scheme val="minor"/>
      </rPr>
      <t>0</t>
    </r>
  </si>
  <si>
    <t>Rooms(β2) independent variable is statistically significant for this model.</t>
  </si>
  <si>
    <r>
      <rPr>
        <sz val="11"/>
        <color theme="1"/>
        <rFont val="Calibri"/>
        <family val="2"/>
        <charset val="204"/>
      </rPr>
      <t>α</t>
    </r>
    <r>
      <rPr>
        <sz val="11"/>
        <color theme="1"/>
        <rFont val="Calibri"/>
        <family val="2"/>
      </rPr>
      <t xml:space="preserve"> = 0.1</t>
    </r>
  </si>
  <si>
    <t>Interaction:</t>
  </si>
  <si>
    <t>Structure:</t>
  </si>
  <si>
    <t>District:</t>
  </si>
  <si>
    <t>There is no interaction effect between District and Structure variables</t>
  </si>
  <si>
    <t>There is interaction effect between District and Structure variables</t>
  </si>
  <si>
    <t>District does not influence to the Price</t>
  </si>
  <si>
    <t>District influences to the Price</t>
  </si>
  <si>
    <t>Structure type influences to the Price</t>
  </si>
  <si>
    <t>Structure type does not influence to the Price</t>
  </si>
  <si>
    <t>Anova: Two-Factor With Replication</t>
  </si>
  <si>
    <t>SUMMARY</t>
  </si>
  <si>
    <t>Average</t>
  </si>
  <si>
    <t>Variance</t>
  </si>
  <si>
    <t>Source of Variation</t>
  </si>
  <si>
    <t>F crit</t>
  </si>
  <si>
    <t>Sample</t>
  </si>
  <si>
    <t>Columns</t>
  </si>
  <si>
    <t>Interaction</t>
  </si>
  <si>
    <t>Within</t>
  </si>
  <si>
    <r>
      <t xml:space="preserve">In all cases, reject H0 if p-value &lt;= </t>
    </r>
    <r>
      <rPr>
        <sz val="11"/>
        <color theme="1"/>
        <rFont val="Calibri"/>
        <family val="2"/>
        <charset val="204"/>
      </rPr>
      <t>α</t>
    </r>
    <r>
      <rPr>
        <sz val="11"/>
        <color theme="1"/>
        <rFont val="Calibri"/>
        <family val="2"/>
      </rPr>
      <t xml:space="preserve"> else fail to reject H0</t>
    </r>
  </si>
  <si>
    <t>District (Sample):</t>
  </si>
  <si>
    <t>Structure type (Columns):</t>
  </si>
  <si>
    <t>p-value &gt; α, fail to reject H0</t>
  </si>
  <si>
    <t>Price(y) = b0 + b1 * Size(x)</t>
  </si>
  <si>
    <r>
      <t xml:space="preserve">H0: </t>
    </r>
    <r>
      <rPr>
        <sz val="11"/>
        <color theme="1"/>
        <rFont val="Calibri"/>
        <family val="2"/>
        <charset val="204"/>
      </rPr>
      <t>β</t>
    </r>
    <r>
      <rPr>
        <sz val="11"/>
        <color theme="1"/>
        <rFont val="Calibri"/>
        <family val="2"/>
      </rPr>
      <t xml:space="preserve">1 = 0 or </t>
    </r>
    <r>
      <rPr>
        <sz val="11"/>
        <color theme="1"/>
        <rFont val="Calibri"/>
        <family val="2"/>
        <scheme val="minor"/>
      </rPr>
      <t>there is no significant relationship between Size and Price</t>
    </r>
  </si>
  <si>
    <r>
      <t xml:space="preserve">Ha: β1 </t>
    </r>
    <r>
      <rPr>
        <sz val="11"/>
        <color theme="1"/>
        <rFont val="Calibri"/>
        <family val="2"/>
        <charset val="204"/>
      </rPr>
      <t>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0 or there is significant relationship between Size and Price</t>
    </r>
  </si>
  <si>
    <t>Conclusion:</t>
  </si>
  <si>
    <t>b0 &lt; 0</t>
  </si>
  <si>
    <t>b1 = 848</t>
  </si>
  <si>
    <t>It tells us that, on average, the mean of the dependent Price variable</t>
  </si>
  <si>
    <t xml:space="preserve"> increases by 848$ per 1 m2 increase of the independent Size variable</t>
  </si>
  <si>
    <t>Dummy tables for District and Structure variables</t>
  </si>
  <si>
    <t xml:space="preserve"> Test for significance of partial slope of Size</t>
  </si>
  <si>
    <t>Firstly, interaction effect should be checked for the model</t>
  </si>
  <si>
    <t xml:space="preserve">The estimate of β0 is negative, so we cannot interpret in this situation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</si>
</sst>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vertAlign val="super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Calibri"/>
      <family val="2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C99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 style="thin">
        <color rgb="FFB2B2B2"/>
      </left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6" fillId="2" borderId="0" applyNumberFormat="0" applyBorder="0" applyAlignment="0" applyProtection="0"/>
    <xf numFmtId="0" fontId="8" fillId="3" borderId="0" applyNumberFormat="0" applyBorder="0" applyAlignment="0" applyProtection="0"/>
    <xf numFmtId="0" fontId="1" fillId="4" borderId="12" applyNumberFormat="0" applyFont="0" applyAlignment="0" applyProtection="0"/>
    <xf numFmtId="0" fontId="11" fillId="5" borderId="15" applyNumberFormat="0" applyAlignment="0" applyProtection="0"/>
    <xf numFmtId="0" fontId="12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0" fillId="0" borderId="0" xfId="0" applyFill="1" applyBorder="1"/>
    <xf numFmtId="0" fontId="0" fillId="0" borderId="9" xfId="0" applyFill="1" applyBorder="1"/>
    <xf numFmtId="0" fontId="0" fillId="0" borderId="11" xfId="0" applyBorder="1" applyAlignment="1">
      <alignment horizontal="center"/>
    </xf>
    <xf numFmtId="164" fontId="0" fillId="0" borderId="6" xfId="1" applyNumberFormat="1" applyFont="1" applyBorder="1"/>
    <xf numFmtId="164" fontId="0" fillId="0" borderId="0" xfId="1" applyNumberFormat="1" applyFont="1" applyBorder="1"/>
    <xf numFmtId="164" fontId="0" fillId="0" borderId="0" xfId="1" applyNumberFormat="1" applyFont="1" applyFill="1" applyBorder="1"/>
    <xf numFmtId="164" fontId="0" fillId="0" borderId="9" xfId="1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0" fillId="0" borderId="0" xfId="0" applyAlignment="1"/>
    <xf numFmtId="0" fontId="0" fillId="0" borderId="0" xfId="0" applyFill="1" applyBorder="1" applyAlignment="1"/>
    <xf numFmtId="0" fontId="0" fillId="0" borderId="13" xfId="0" applyFill="1" applyBorder="1" applyAlignment="1"/>
    <xf numFmtId="0" fontId="9" fillId="0" borderId="14" xfId="0" applyFont="1" applyFill="1" applyBorder="1" applyAlignment="1">
      <alignment horizontal="center"/>
    </xf>
    <xf numFmtId="0" fontId="9" fillId="0" borderId="14" xfId="0" applyFont="1" applyFill="1" applyBorder="1" applyAlignment="1">
      <alignment horizontal="centerContinuous"/>
    </xf>
    <xf numFmtId="0" fontId="0" fillId="0" borderId="0" xfId="0" applyNumberFormat="1" applyFill="1" applyBorder="1" applyAlignment="1"/>
    <xf numFmtId="0" fontId="6" fillId="2" borderId="0" xfId="2" applyBorder="1" applyAlignment="1"/>
    <xf numFmtId="0" fontId="6" fillId="2" borderId="0" xfId="2"/>
    <xf numFmtId="0" fontId="8" fillId="3" borderId="13" xfId="3" applyBorder="1" applyAlignment="1"/>
    <xf numFmtId="0" fontId="8" fillId="3" borderId="0" xfId="3"/>
    <xf numFmtId="0" fontId="7" fillId="4" borderId="12" xfId="4" applyFont="1"/>
    <xf numFmtId="0" fontId="0" fillId="4" borderId="12" xfId="4" applyFont="1"/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3" borderId="0" xfId="3" applyAlignment="1">
      <alignment horizontal="center"/>
    </xf>
    <xf numFmtId="0" fontId="0" fillId="4" borderId="12" xfId="4" applyFont="1" applyAlignment="1">
      <alignment horizontal="left"/>
    </xf>
    <xf numFmtId="0" fontId="0" fillId="0" borderId="0" xfId="0" applyAlignment="1">
      <alignment textRotation="255"/>
    </xf>
    <xf numFmtId="0" fontId="0" fillId="0" borderId="16" xfId="0" applyBorder="1"/>
    <xf numFmtId="0" fontId="0" fillId="0" borderId="7" xfId="0" applyBorder="1"/>
    <xf numFmtId="0" fontId="0" fillId="0" borderId="17" xfId="0" applyBorder="1"/>
    <xf numFmtId="0" fontId="0" fillId="0" borderId="18" xfId="0" applyBorder="1"/>
    <xf numFmtId="0" fontId="10" fillId="4" borderId="12" xfId="4" applyFont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164" fontId="0" fillId="0" borderId="0" xfId="0" applyNumberFormat="1"/>
    <xf numFmtId="0" fontId="14" fillId="0" borderId="19" xfId="0" applyFont="1" applyFill="1" applyBorder="1" applyAlignment="1">
      <alignment horizontal="right"/>
    </xf>
    <xf numFmtId="0" fontId="0" fillId="0" borderId="20" xfId="0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7" fillId="4" borderId="12" xfId="4" applyFont="1" applyAlignment="1">
      <alignment horizontal="center" vertical="center"/>
    </xf>
    <xf numFmtId="0" fontId="7" fillId="4" borderId="12" xfId="4" applyFont="1" applyAlignment="1">
      <alignment horizontal="center"/>
    </xf>
    <xf numFmtId="0" fontId="12" fillId="4" borderId="12" xfId="6" applyFill="1" applyBorder="1"/>
    <xf numFmtId="0" fontId="12" fillId="4" borderId="12" xfId="4" applyFont="1"/>
    <xf numFmtId="0" fontId="0" fillId="4" borderId="12" xfId="4" applyFont="1" applyAlignment="1"/>
    <xf numFmtId="0" fontId="7" fillId="4" borderId="12" xfId="4" applyFont="1" applyAlignment="1"/>
    <xf numFmtId="0" fontId="11" fillId="5" borderId="15" xfId="5"/>
    <xf numFmtId="11" fontId="6" fillId="2" borderId="0" xfId="2" applyNumberFormat="1" applyBorder="1" applyAlignment="1"/>
    <xf numFmtId="11" fontId="0" fillId="4" borderId="12" xfId="4" applyNumberFormat="1" applyFont="1" applyAlignment="1"/>
  </cellXfs>
  <cellStyles count="7">
    <cellStyle name="Comma" xfId="1" builtinId="3"/>
    <cellStyle name="Explanatory Text" xfId="6" builtinId="53"/>
    <cellStyle name="Good" xfId="2" builtinId="26"/>
    <cellStyle name="Input" xfId="5" builtinId="20"/>
    <cellStyle name="Neutral" xfId="3" builtinId="28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</a:t>
            </a:r>
            <a:r>
              <a:rPr lang="en-US" baseline="0"/>
              <a:t> histogram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'ex 1'!$L$23:$L$43</c:f>
              <c:strCache>
                <c:ptCount val="21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More</c:v>
                </c:pt>
              </c:strCache>
            </c:strRef>
          </c:cat>
          <c:val>
            <c:numRef>
              <c:f>'ex 1'!$M$23:$M$43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14</c:v>
                </c:pt>
                <c:pt idx="4">
                  <c:v>11</c:v>
                </c:pt>
                <c:pt idx="5">
                  <c:v>11</c:v>
                </c:pt>
                <c:pt idx="6">
                  <c:v>6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70-4502-9270-06FE08EE1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9776127"/>
        <c:axId val="1126475055"/>
      </c:barChart>
      <c:catAx>
        <c:axId val="1119776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 Range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6475055"/>
        <c:crosses val="autoZero"/>
        <c:auto val="1"/>
        <c:lblAlgn val="ctr"/>
        <c:lblOffset val="100"/>
        <c:noMultiLvlLbl val="0"/>
      </c:catAx>
      <c:valAx>
        <c:axId val="11264750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977612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 1'!$AE$2</c:f>
              <c:strCache>
                <c:ptCount val="1"/>
                <c:pt idx="0">
                  <c:v>Price ($)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'ex 1'!$AD$3:$AD$57</c:f>
              <c:numCache>
                <c:formatCode>General</c:formatCode>
                <c:ptCount val="55"/>
                <c:pt idx="0">
                  <c:v>56</c:v>
                </c:pt>
                <c:pt idx="1">
                  <c:v>50</c:v>
                </c:pt>
                <c:pt idx="2">
                  <c:v>62</c:v>
                </c:pt>
                <c:pt idx="3">
                  <c:v>32</c:v>
                </c:pt>
                <c:pt idx="4">
                  <c:v>32</c:v>
                </c:pt>
                <c:pt idx="5">
                  <c:v>85</c:v>
                </c:pt>
                <c:pt idx="6">
                  <c:v>52</c:v>
                </c:pt>
                <c:pt idx="7">
                  <c:v>50</c:v>
                </c:pt>
                <c:pt idx="8">
                  <c:v>56</c:v>
                </c:pt>
                <c:pt idx="9">
                  <c:v>34</c:v>
                </c:pt>
                <c:pt idx="10">
                  <c:v>70</c:v>
                </c:pt>
                <c:pt idx="11">
                  <c:v>52</c:v>
                </c:pt>
                <c:pt idx="12">
                  <c:v>63</c:v>
                </c:pt>
                <c:pt idx="13">
                  <c:v>30</c:v>
                </c:pt>
                <c:pt idx="14">
                  <c:v>64</c:v>
                </c:pt>
                <c:pt idx="15">
                  <c:v>60</c:v>
                </c:pt>
                <c:pt idx="16">
                  <c:v>150</c:v>
                </c:pt>
                <c:pt idx="17">
                  <c:v>92</c:v>
                </c:pt>
                <c:pt idx="18">
                  <c:v>42</c:v>
                </c:pt>
                <c:pt idx="19">
                  <c:v>75</c:v>
                </c:pt>
                <c:pt idx="20">
                  <c:v>70</c:v>
                </c:pt>
                <c:pt idx="21">
                  <c:v>70</c:v>
                </c:pt>
                <c:pt idx="22">
                  <c:v>40</c:v>
                </c:pt>
                <c:pt idx="23">
                  <c:v>78</c:v>
                </c:pt>
                <c:pt idx="24">
                  <c:v>80</c:v>
                </c:pt>
                <c:pt idx="25">
                  <c:v>100</c:v>
                </c:pt>
                <c:pt idx="26">
                  <c:v>200</c:v>
                </c:pt>
                <c:pt idx="27">
                  <c:v>80</c:v>
                </c:pt>
                <c:pt idx="28">
                  <c:v>80</c:v>
                </c:pt>
                <c:pt idx="29">
                  <c:v>37</c:v>
                </c:pt>
                <c:pt idx="30">
                  <c:v>82</c:v>
                </c:pt>
                <c:pt idx="31">
                  <c:v>70</c:v>
                </c:pt>
                <c:pt idx="32">
                  <c:v>76</c:v>
                </c:pt>
                <c:pt idx="33">
                  <c:v>100</c:v>
                </c:pt>
                <c:pt idx="34">
                  <c:v>43</c:v>
                </c:pt>
                <c:pt idx="35">
                  <c:v>50</c:v>
                </c:pt>
                <c:pt idx="36">
                  <c:v>93</c:v>
                </c:pt>
                <c:pt idx="37">
                  <c:v>84</c:v>
                </c:pt>
                <c:pt idx="38">
                  <c:v>60</c:v>
                </c:pt>
                <c:pt idx="39">
                  <c:v>82</c:v>
                </c:pt>
                <c:pt idx="40">
                  <c:v>50</c:v>
                </c:pt>
                <c:pt idx="41">
                  <c:v>100</c:v>
                </c:pt>
                <c:pt idx="42">
                  <c:v>57</c:v>
                </c:pt>
                <c:pt idx="43">
                  <c:v>100</c:v>
                </c:pt>
                <c:pt idx="44">
                  <c:v>95</c:v>
                </c:pt>
                <c:pt idx="45">
                  <c:v>103</c:v>
                </c:pt>
                <c:pt idx="46">
                  <c:v>52</c:v>
                </c:pt>
                <c:pt idx="47">
                  <c:v>60</c:v>
                </c:pt>
                <c:pt idx="48">
                  <c:v>115</c:v>
                </c:pt>
                <c:pt idx="49">
                  <c:v>77</c:v>
                </c:pt>
                <c:pt idx="50">
                  <c:v>70</c:v>
                </c:pt>
                <c:pt idx="51">
                  <c:v>100</c:v>
                </c:pt>
                <c:pt idx="52">
                  <c:v>63</c:v>
                </c:pt>
                <c:pt idx="53">
                  <c:v>38</c:v>
                </c:pt>
                <c:pt idx="54">
                  <c:v>59</c:v>
                </c:pt>
              </c:numCache>
            </c:numRef>
          </c:xVal>
          <c:yVal>
            <c:numRef>
              <c:f>'ex 1'!$AE$3:$AE$57</c:f>
              <c:numCache>
                <c:formatCode>_(* #,##0_);_(* \(#,##0\);_(* "-"??_);_(@_)</c:formatCode>
                <c:ptCount val="55"/>
                <c:pt idx="0">
                  <c:v>28500</c:v>
                </c:pt>
                <c:pt idx="1">
                  <c:v>27500</c:v>
                </c:pt>
                <c:pt idx="2">
                  <c:v>28999</c:v>
                </c:pt>
                <c:pt idx="3">
                  <c:v>19500</c:v>
                </c:pt>
                <c:pt idx="4">
                  <c:v>24500</c:v>
                </c:pt>
                <c:pt idx="5">
                  <c:v>47999</c:v>
                </c:pt>
                <c:pt idx="6">
                  <c:v>42000</c:v>
                </c:pt>
                <c:pt idx="7">
                  <c:v>25500</c:v>
                </c:pt>
                <c:pt idx="8">
                  <c:v>33500</c:v>
                </c:pt>
                <c:pt idx="9">
                  <c:v>23500</c:v>
                </c:pt>
                <c:pt idx="10">
                  <c:v>46498</c:v>
                </c:pt>
                <c:pt idx="11">
                  <c:v>25499</c:v>
                </c:pt>
                <c:pt idx="12">
                  <c:v>37000</c:v>
                </c:pt>
                <c:pt idx="13">
                  <c:v>25000</c:v>
                </c:pt>
                <c:pt idx="14">
                  <c:v>55000</c:v>
                </c:pt>
                <c:pt idx="15">
                  <c:v>33000</c:v>
                </c:pt>
                <c:pt idx="16">
                  <c:v>81000</c:v>
                </c:pt>
                <c:pt idx="17">
                  <c:v>46000</c:v>
                </c:pt>
                <c:pt idx="18">
                  <c:v>52000</c:v>
                </c:pt>
                <c:pt idx="19">
                  <c:v>76000</c:v>
                </c:pt>
                <c:pt idx="20">
                  <c:v>31500</c:v>
                </c:pt>
                <c:pt idx="21">
                  <c:v>65000</c:v>
                </c:pt>
                <c:pt idx="22">
                  <c:v>45000</c:v>
                </c:pt>
                <c:pt idx="23">
                  <c:v>46000</c:v>
                </c:pt>
                <c:pt idx="24">
                  <c:v>60000</c:v>
                </c:pt>
                <c:pt idx="25">
                  <c:v>62000</c:v>
                </c:pt>
                <c:pt idx="26">
                  <c:v>190000</c:v>
                </c:pt>
                <c:pt idx="27">
                  <c:v>52700</c:v>
                </c:pt>
                <c:pt idx="28">
                  <c:v>55000</c:v>
                </c:pt>
                <c:pt idx="29">
                  <c:v>20500</c:v>
                </c:pt>
                <c:pt idx="30">
                  <c:v>40500</c:v>
                </c:pt>
                <c:pt idx="31">
                  <c:v>58000</c:v>
                </c:pt>
                <c:pt idx="32">
                  <c:v>33000</c:v>
                </c:pt>
                <c:pt idx="33">
                  <c:v>87000</c:v>
                </c:pt>
                <c:pt idx="34">
                  <c:v>19000</c:v>
                </c:pt>
                <c:pt idx="35">
                  <c:v>28000</c:v>
                </c:pt>
                <c:pt idx="36">
                  <c:v>46000</c:v>
                </c:pt>
                <c:pt idx="37">
                  <c:v>38000</c:v>
                </c:pt>
                <c:pt idx="38">
                  <c:v>33000</c:v>
                </c:pt>
                <c:pt idx="39">
                  <c:v>64000</c:v>
                </c:pt>
                <c:pt idx="40">
                  <c:v>26700</c:v>
                </c:pt>
                <c:pt idx="41">
                  <c:v>92000</c:v>
                </c:pt>
                <c:pt idx="42">
                  <c:v>36000</c:v>
                </c:pt>
                <c:pt idx="43">
                  <c:v>103000</c:v>
                </c:pt>
                <c:pt idx="44">
                  <c:v>38900</c:v>
                </c:pt>
                <c:pt idx="45">
                  <c:v>46500</c:v>
                </c:pt>
                <c:pt idx="46">
                  <c:v>25500</c:v>
                </c:pt>
                <c:pt idx="47">
                  <c:v>25700</c:v>
                </c:pt>
                <c:pt idx="48">
                  <c:v>76000</c:v>
                </c:pt>
                <c:pt idx="49">
                  <c:v>41500</c:v>
                </c:pt>
                <c:pt idx="50">
                  <c:v>33000</c:v>
                </c:pt>
                <c:pt idx="51">
                  <c:v>178000</c:v>
                </c:pt>
                <c:pt idx="52">
                  <c:v>40000</c:v>
                </c:pt>
                <c:pt idx="53">
                  <c:v>43100</c:v>
                </c:pt>
                <c:pt idx="54">
                  <c:v>22900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A8-4DF4-9614-1BE1A73C9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213823"/>
        <c:axId val="1126479215"/>
      </c:scatterChart>
      <c:valAx>
        <c:axId val="114321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6479215"/>
        <c:crosses val="autoZero"/>
        <c:crossBetween val="midCat"/>
      </c:valAx>
      <c:valAx>
        <c:axId val="112647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321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Size</a:t>
            </a:r>
            <a:r>
              <a:rPr lang="en-US" baseline="0"/>
              <a:t> h</a:t>
            </a:r>
            <a:r>
              <a:rPr lang="en-US"/>
              <a:t>istogram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361411854768154"/>
          <c:y val="0.19319356774618049"/>
          <c:w val="0.73717109580052498"/>
          <c:h val="0.53848759607528396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'ex 1'!$L$47:$L$65</c:f>
              <c:strCache>
                <c:ptCount val="19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150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  <c:pt idx="16">
                  <c:v>190</c:v>
                </c:pt>
                <c:pt idx="17">
                  <c:v>200</c:v>
                </c:pt>
                <c:pt idx="18">
                  <c:v>More</c:v>
                </c:pt>
              </c:strCache>
            </c:strRef>
          </c:cat>
          <c:val>
            <c:numRef>
              <c:f>'ex 1'!$M$47:$M$65</c:f>
              <c:numCache>
                <c:formatCode>General</c:formatCode>
                <c:ptCount val="19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10</c:v>
                </c:pt>
                <c:pt idx="4">
                  <c:v>9</c:v>
                </c:pt>
                <c:pt idx="5">
                  <c:v>7</c:v>
                </c:pt>
                <c:pt idx="6">
                  <c:v>4</c:v>
                </c:pt>
                <c:pt idx="7">
                  <c:v>8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3D-42D0-A27D-D2FF1C5F7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6729055"/>
        <c:axId val="2121371119"/>
      </c:barChart>
      <c:catAx>
        <c:axId val="276729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 Range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1371119"/>
        <c:crosses val="autoZero"/>
        <c:auto val="1"/>
        <c:lblAlgn val="ctr"/>
        <c:lblOffset val="100"/>
        <c:noMultiLvlLbl val="0"/>
      </c:catAx>
      <c:valAx>
        <c:axId val="2121371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672905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Rooms</a:t>
            </a:r>
            <a:r>
              <a:rPr lang="en-US" baseline="0"/>
              <a:t> h</a:t>
            </a:r>
            <a:r>
              <a:rPr lang="en-US"/>
              <a:t>istogram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361411854768154"/>
          <c:y val="0.29220527121609796"/>
          <c:w val="0.62272337051618543"/>
          <c:h val="0.51029582239720028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'ex 1'!$L$69:$L$76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More</c:v>
                </c:pt>
              </c:strCache>
            </c:strRef>
          </c:cat>
          <c:val>
            <c:numRef>
              <c:f>'ex 1'!$M$69:$M$76</c:f>
              <c:numCache>
                <c:formatCode>General</c:formatCode>
                <c:ptCount val="8"/>
                <c:pt idx="0">
                  <c:v>10</c:v>
                </c:pt>
                <c:pt idx="1">
                  <c:v>21</c:v>
                </c:pt>
                <c:pt idx="2">
                  <c:v>13</c:v>
                </c:pt>
                <c:pt idx="3">
                  <c:v>9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EC-4492-A2AB-21DA833BC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522351"/>
        <c:axId val="265473391"/>
      </c:barChart>
      <c:catAx>
        <c:axId val="156522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 Range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5473391"/>
        <c:crosses val="autoZero"/>
        <c:auto val="1"/>
        <c:lblAlgn val="ctr"/>
        <c:lblOffset val="100"/>
        <c:noMultiLvlLbl val="0"/>
      </c:catAx>
      <c:valAx>
        <c:axId val="265473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52235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Bathrooms</a:t>
            </a:r>
            <a:r>
              <a:rPr lang="en-US" baseline="0"/>
              <a:t> h</a:t>
            </a:r>
            <a:r>
              <a:rPr lang="en-US"/>
              <a:t>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'ex 1'!$L$82:$L$84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More</c:v>
                </c:pt>
              </c:strCache>
            </c:strRef>
          </c:cat>
          <c:val>
            <c:numRef>
              <c:f>'ex 1'!$M$82:$M$84</c:f>
              <c:numCache>
                <c:formatCode>General</c:formatCode>
                <c:ptCount val="3"/>
                <c:pt idx="0">
                  <c:v>52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D5-49FB-832B-35BF5D6A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049455"/>
        <c:axId val="239369311"/>
      </c:barChart>
      <c:catAx>
        <c:axId val="164049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 Range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9369311"/>
        <c:crosses val="autoZero"/>
        <c:auto val="1"/>
        <c:lblAlgn val="ctr"/>
        <c:lblOffset val="100"/>
        <c:noMultiLvlLbl val="0"/>
      </c:catAx>
      <c:valAx>
        <c:axId val="2393693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404945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21</xdr:row>
      <xdr:rowOff>7620</xdr:rowOff>
    </xdr:from>
    <xdr:to>
      <xdr:col>21</xdr:col>
      <xdr:colOff>609600</xdr:colOff>
      <xdr:row>36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D0B276-D203-4F32-ADFF-B53C981B6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129540</xdr:colOff>
      <xdr:row>1</xdr:row>
      <xdr:rowOff>87630</xdr:rowOff>
    </xdr:from>
    <xdr:to>
      <xdr:col>38</xdr:col>
      <xdr:colOff>434340</xdr:colOff>
      <xdr:row>16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B422E8-81BA-4CA2-8567-BE78A6312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45</xdr:row>
      <xdr:rowOff>167640</xdr:rowOff>
    </xdr:from>
    <xdr:to>
      <xdr:col>21</xdr:col>
      <xdr:colOff>624840</xdr:colOff>
      <xdr:row>59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525EF7-3D54-4687-906A-2F67FED94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7620</xdr:colOff>
      <xdr:row>67</xdr:row>
      <xdr:rowOff>7620</xdr:rowOff>
    </xdr:from>
    <xdr:to>
      <xdr:col>21</xdr:col>
      <xdr:colOff>7620</xdr:colOff>
      <xdr:row>77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D6311C-36CB-4DC4-9D95-A8B45FE8D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7620</xdr:colOff>
      <xdr:row>80</xdr:row>
      <xdr:rowOff>15240</xdr:rowOff>
    </xdr:from>
    <xdr:to>
      <xdr:col>21</xdr:col>
      <xdr:colOff>7620</xdr:colOff>
      <xdr:row>90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B89DE5-7AF1-4EFE-AAD2-003536D02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5"/>
  <sheetViews>
    <sheetView showGridLines="0" workbookViewId="0">
      <selection activeCell="B17" sqref="B17"/>
    </sheetView>
  </sheetViews>
  <sheetFormatPr defaultRowHeight="14.4" x14ac:dyDescent="0.3"/>
  <sheetData>
    <row r="2" spans="1:2" x14ac:dyDescent="0.3">
      <c r="B2" s="26" t="s">
        <v>19</v>
      </c>
    </row>
    <row r="4" spans="1:2" x14ac:dyDescent="0.3">
      <c r="A4" t="s">
        <v>20</v>
      </c>
    </row>
    <row r="5" spans="1:2" x14ac:dyDescent="0.3">
      <c r="A5" t="s">
        <v>26</v>
      </c>
    </row>
    <row r="6" spans="1:2" x14ac:dyDescent="0.3">
      <c r="A6" t="s">
        <v>27</v>
      </c>
    </row>
    <row r="8" spans="1:2" x14ac:dyDescent="0.3">
      <c r="A8" s="25" t="s">
        <v>28</v>
      </c>
    </row>
    <row r="9" spans="1:2" ht="16.2" x14ac:dyDescent="0.3">
      <c r="A9" s="25" t="s">
        <v>21</v>
      </c>
    </row>
    <row r="10" spans="1:2" x14ac:dyDescent="0.3">
      <c r="A10" s="25" t="s">
        <v>22</v>
      </c>
    </row>
    <row r="11" spans="1:2" x14ac:dyDescent="0.3">
      <c r="A11" s="25" t="s">
        <v>23</v>
      </c>
    </row>
    <row r="12" spans="1:2" x14ac:dyDescent="0.3">
      <c r="A12" s="25" t="s">
        <v>29</v>
      </c>
    </row>
    <row r="13" spans="1:2" x14ac:dyDescent="0.3">
      <c r="A13" s="25" t="s">
        <v>24</v>
      </c>
    </row>
    <row r="14" spans="1:2" x14ac:dyDescent="0.3">
      <c r="A14" s="25" t="s">
        <v>25</v>
      </c>
    </row>
    <row r="15" spans="1:2" x14ac:dyDescent="0.3">
      <c r="A15" s="2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workbookViewId="0">
      <selection activeCell="L15" sqref="L15"/>
    </sheetView>
  </sheetViews>
  <sheetFormatPr defaultRowHeight="14.4" x14ac:dyDescent="0.3"/>
  <cols>
    <col min="1" max="1" width="9.88671875" customWidth="1"/>
    <col min="2" max="3" width="13" customWidth="1"/>
    <col min="4" max="4" width="10.44140625" customWidth="1"/>
    <col min="5" max="5" width="11.33203125" customWidth="1"/>
    <col min="6" max="7" width="14.5546875" style="24" customWidth="1"/>
    <col min="8" max="8" width="18.44140625" style="24" customWidth="1"/>
    <col min="9" max="9" width="13.88671875" style="24" customWidth="1"/>
  </cols>
  <sheetData>
    <row r="1" spans="1:13" ht="16.2" x14ac:dyDescent="0.3">
      <c r="A1" s="2" t="s">
        <v>30</v>
      </c>
      <c r="B1" s="1" t="s">
        <v>4</v>
      </c>
      <c r="C1" s="1" t="s">
        <v>5</v>
      </c>
      <c r="D1" s="1" t="s">
        <v>0</v>
      </c>
      <c r="E1" s="1" t="s">
        <v>1</v>
      </c>
      <c r="F1" s="14" t="s">
        <v>31</v>
      </c>
      <c r="G1" s="14" t="s">
        <v>10</v>
      </c>
      <c r="H1" s="14" t="s">
        <v>2</v>
      </c>
      <c r="I1" s="15" t="s">
        <v>3</v>
      </c>
    </row>
    <row r="2" spans="1:13" x14ac:dyDescent="0.3">
      <c r="A2" s="9">
        <v>1</v>
      </c>
      <c r="B2" s="10">
        <v>28500</v>
      </c>
      <c r="C2" s="5">
        <v>56</v>
      </c>
      <c r="D2" s="5">
        <v>2</v>
      </c>
      <c r="E2" s="5">
        <v>1</v>
      </c>
      <c r="F2" s="16" t="s">
        <v>6</v>
      </c>
      <c r="G2" s="16" t="s">
        <v>11</v>
      </c>
      <c r="H2" s="16" t="s">
        <v>7</v>
      </c>
      <c r="I2" s="17" t="s">
        <v>8</v>
      </c>
      <c r="M2">
        <v>39</v>
      </c>
    </row>
    <row r="3" spans="1:13" x14ac:dyDescent="0.3">
      <c r="A3" s="3">
        <v>2</v>
      </c>
      <c r="B3" s="11">
        <v>27500</v>
      </c>
      <c r="C3" s="6">
        <v>50</v>
      </c>
      <c r="D3" s="6">
        <v>2</v>
      </c>
      <c r="E3" s="7">
        <v>1</v>
      </c>
      <c r="F3" s="18" t="s">
        <v>6</v>
      </c>
      <c r="G3" s="18" t="s">
        <v>12</v>
      </c>
      <c r="H3" s="18" t="s">
        <v>7</v>
      </c>
      <c r="I3" s="19" t="s">
        <v>9</v>
      </c>
      <c r="M3">
        <v>13</v>
      </c>
    </row>
    <row r="4" spans="1:13" x14ac:dyDescent="0.3">
      <c r="A4" s="3">
        <v>3</v>
      </c>
      <c r="B4" s="11">
        <v>28999</v>
      </c>
      <c r="C4" s="6">
        <v>62</v>
      </c>
      <c r="D4" s="6">
        <v>2</v>
      </c>
      <c r="E4" s="7">
        <v>1</v>
      </c>
      <c r="F4" s="18" t="s">
        <v>13</v>
      </c>
      <c r="G4" s="18" t="s">
        <v>12</v>
      </c>
      <c r="H4" s="18" t="s">
        <v>14</v>
      </c>
      <c r="I4" s="19" t="s">
        <v>8</v>
      </c>
    </row>
    <row r="5" spans="1:13" x14ac:dyDescent="0.3">
      <c r="A5" s="3">
        <v>4</v>
      </c>
      <c r="B5" s="11">
        <v>19500</v>
      </c>
      <c r="C5" s="7">
        <v>32</v>
      </c>
      <c r="D5" s="7">
        <v>1</v>
      </c>
      <c r="E5" s="7">
        <v>1</v>
      </c>
      <c r="F5" s="20" t="s">
        <v>6</v>
      </c>
      <c r="G5" s="20" t="s">
        <v>12</v>
      </c>
      <c r="H5" s="20" t="s">
        <v>15</v>
      </c>
      <c r="I5" s="19" t="s">
        <v>16</v>
      </c>
    </row>
    <row r="6" spans="1:13" x14ac:dyDescent="0.3">
      <c r="A6" s="3">
        <v>5</v>
      </c>
      <c r="B6" s="11">
        <v>24500</v>
      </c>
      <c r="C6" s="7">
        <v>32</v>
      </c>
      <c r="D6" s="7">
        <v>1</v>
      </c>
      <c r="E6" s="7">
        <v>1</v>
      </c>
      <c r="F6" s="20" t="s">
        <v>6</v>
      </c>
      <c r="G6" s="20" t="s">
        <v>12</v>
      </c>
      <c r="H6" s="20" t="s">
        <v>14</v>
      </c>
      <c r="I6" s="19" t="s">
        <v>8</v>
      </c>
    </row>
    <row r="7" spans="1:13" x14ac:dyDescent="0.3">
      <c r="A7" s="3">
        <v>6</v>
      </c>
      <c r="B7" s="11">
        <v>47999</v>
      </c>
      <c r="C7" s="7">
        <v>85</v>
      </c>
      <c r="D7" s="7">
        <v>4</v>
      </c>
      <c r="E7" s="7">
        <v>1</v>
      </c>
      <c r="F7" s="20" t="s">
        <v>6</v>
      </c>
      <c r="G7" s="20" t="s">
        <v>11</v>
      </c>
      <c r="H7" s="20" t="s">
        <v>7</v>
      </c>
      <c r="I7" s="19" t="s">
        <v>9</v>
      </c>
    </row>
    <row r="8" spans="1:13" x14ac:dyDescent="0.3">
      <c r="A8" s="3">
        <v>7</v>
      </c>
      <c r="B8" s="11">
        <v>42000</v>
      </c>
      <c r="C8" s="7">
        <v>52</v>
      </c>
      <c r="D8" s="7">
        <v>2</v>
      </c>
      <c r="E8" s="7">
        <v>1</v>
      </c>
      <c r="F8" s="20" t="s">
        <v>17</v>
      </c>
      <c r="G8" s="20" t="s">
        <v>12</v>
      </c>
      <c r="H8" s="20" t="s">
        <v>7</v>
      </c>
      <c r="I8" s="19" t="s">
        <v>8</v>
      </c>
    </row>
    <row r="9" spans="1:13" x14ac:dyDescent="0.3">
      <c r="A9" s="3">
        <v>8</v>
      </c>
      <c r="B9" s="11">
        <v>25500</v>
      </c>
      <c r="C9" s="7">
        <v>50</v>
      </c>
      <c r="D9" s="7">
        <v>2</v>
      </c>
      <c r="E9" s="7">
        <v>1</v>
      </c>
      <c r="F9" s="20" t="s">
        <v>6</v>
      </c>
      <c r="G9" s="20" t="s">
        <v>12</v>
      </c>
      <c r="H9" s="20" t="s">
        <v>7</v>
      </c>
      <c r="I9" s="19" t="s">
        <v>16</v>
      </c>
    </row>
    <row r="10" spans="1:13" x14ac:dyDescent="0.3">
      <c r="A10" s="3">
        <v>9</v>
      </c>
      <c r="B10" s="11">
        <v>33500</v>
      </c>
      <c r="C10" s="7">
        <v>56</v>
      </c>
      <c r="D10" s="7">
        <v>2</v>
      </c>
      <c r="E10" s="7">
        <v>1</v>
      </c>
      <c r="F10" s="20" t="s">
        <v>6</v>
      </c>
      <c r="G10" s="20" t="s">
        <v>11</v>
      </c>
      <c r="H10" s="20" t="s">
        <v>7</v>
      </c>
      <c r="I10" s="19" t="s">
        <v>16</v>
      </c>
    </row>
    <row r="11" spans="1:13" x14ac:dyDescent="0.3">
      <c r="A11" s="3">
        <v>10</v>
      </c>
      <c r="B11" s="11">
        <v>23500</v>
      </c>
      <c r="C11" s="7">
        <v>34</v>
      </c>
      <c r="D11" s="7">
        <v>1</v>
      </c>
      <c r="E11" s="7">
        <v>1</v>
      </c>
      <c r="F11" s="20" t="s">
        <v>6</v>
      </c>
      <c r="G11" s="20" t="s">
        <v>12</v>
      </c>
      <c r="H11" s="20" t="s">
        <v>14</v>
      </c>
      <c r="I11" s="19" t="s">
        <v>8</v>
      </c>
    </row>
    <row r="12" spans="1:13" x14ac:dyDescent="0.3">
      <c r="A12" s="3">
        <v>11</v>
      </c>
      <c r="B12" s="11">
        <v>46498</v>
      </c>
      <c r="C12" s="7">
        <v>70</v>
      </c>
      <c r="D12" s="7">
        <v>3</v>
      </c>
      <c r="E12" s="7">
        <v>1</v>
      </c>
      <c r="F12" s="20" t="s">
        <v>6</v>
      </c>
      <c r="G12" s="20" t="s">
        <v>11</v>
      </c>
      <c r="H12" s="20" t="s">
        <v>14</v>
      </c>
      <c r="I12" s="19" t="s">
        <v>9</v>
      </c>
    </row>
    <row r="13" spans="1:13" x14ac:dyDescent="0.3">
      <c r="A13" s="3">
        <v>12</v>
      </c>
      <c r="B13" s="11">
        <v>25499</v>
      </c>
      <c r="C13" s="7">
        <v>52</v>
      </c>
      <c r="D13" s="7">
        <v>2</v>
      </c>
      <c r="E13" s="7">
        <v>1</v>
      </c>
      <c r="F13" s="20" t="s">
        <v>6</v>
      </c>
      <c r="G13" s="20" t="s">
        <v>12</v>
      </c>
      <c r="H13" s="20" t="s">
        <v>7</v>
      </c>
      <c r="I13" s="19" t="s">
        <v>16</v>
      </c>
    </row>
    <row r="14" spans="1:13" x14ac:dyDescent="0.3">
      <c r="A14" s="3">
        <v>14</v>
      </c>
      <c r="B14" s="11">
        <v>37000</v>
      </c>
      <c r="C14" s="7">
        <v>63</v>
      </c>
      <c r="D14" s="7">
        <v>2</v>
      </c>
      <c r="E14" s="7">
        <v>1</v>
      </c>
      <c r="F14" s="20" t="s">
        <v>18</v>
      </c>
      <c r="G14" s="20" t="s">
        <v>12</v>
      </c>
      <c r="H14" s="20" t="s">
        <v>14</v>
      </c>
      <c r="I14" s="19" t="s">
        <v>9</v>
      </c>
    </row>
    <row r="15" spans="1:13" x14ac:dyDescent="0.3">
      <c r="A15" s="3">
        <v>15</v>
      </c>
      <c r="B15" s="11">
        <v>25000</v>
      </c>
      <c r="C15" s="7">
        <v>30</v>
      </c>
      <c r="D15" s="7">
        <v>1</v>
      </c>
      <c r="E15" s="7">
        <v>1</v>
      </c>
      <c r="F15" s="20" t="s">
        <v>6</v>
      </c>
      <c r="G15" s="20" t="s">
        <v>12</v>
      </c>
      <c r="H15" s="20" t="s">
        <v>14</v>
      </c>
      <c r="I15" s="19" t="s">
        <v>8</v>
      </c>
    </row>
    <row r="16" spans="1:13" x14ac:dyDescent="0.3">
      <c r="A16" s="3">
        <v>16</v>
      </c>
      <c r="B16" s="11">
        <v>55000</v>
      </c>
      <c r="C16" s="7">
        <v>64</v>
      </c>
      <c r="D16" s="7">
        <v>2</v>
      </c>
      <c r="E16" s="7">
        <v>1</v>
      </c>
      <c r="F16" s="20" t="s">
        <v>18</v>
      </c>
      <c r="G16" s="20" t="s">
        <v>12</v>
      </c>
      <c r="H16" s="20" t="s">
        <v>14</v>
      </c>
      <c r="I16" s="19" t="s">
        <v>8</v>
      </c>
    </row>
    <row r="17" spans="1:9" x14ac:dyDescent="0.3">
      <c r="A17" s="3">
        <v>17</v>
      </c>
      <c r="B17" s="11">
        <v>33000</v>
      </c>
      <c r="C17" s="7">
        <v>60</v>
      </c>
      <c r="D17" s="7">
        <v>2</v>
      </c>
      <c r="E17" s="7">
        <v>1</v>
      </c>
      <c r="F17" s="20" t="s">
        <v>17</v>
      </c>
      <c r="G17" s="20" t="s">
        <v>12</v>
      </c>
      <c r="H17" s="20" t="s">
        <v>7</v>
      </c>
      <c r="I17" s="19" t="s">
        <v>8</v>
      </c>
    </row>
    <row r="18" spans="1:9" x14ac:dyDescent="0.3">
      <c r="A18" s="3">
        <v>18</v>
      </c>
      <c r="B18" s="11">
        <v>81000</v>
      </c>
      <c r="C18" s="7">
        <v>150</v>
      </c>
      <c r="D18" s="7">
        <v>4</v>
      </c>
      <c r="E18" s="7">
        <v>2</v>
      </c>
      <c r="F18" s="20" t="s">
        <v>17</v>
      </c>
      <c r="G18" s="20" t="s">
        <v>11</v>
      </c>
      <c r="H18" s="20" t="s">
        <v>14</v>
      </c>
      <c r="I18" s="19" t="s">
        <v>8</v>
      </c>
    </row>
    <row r="19" spans="1:9" x14ac:dyDescent="0.3">
      <c r="A19" s="3">
        <v>19</v>
      </c>
      <c r="B19" s="11">
        <v>46000</v>
      </c>
      <c r="C19" s="7">
        <v>92</v>
      </c>
      <c r="D19" s="7">
        <v>4</v>
      </c>
      <c r="E19" s="7">
        <v>1</v>
      </c>
      <c r="F19" s="20" t="s">
        <v>17</v>
      </c>
      <c r="G19" s="20" t="s">
        <v>12</v>
      </c>
      <c r="H19" s="20" t="s">
        <v>14</v>
      </c>
      <c r="I19" s="19" t="s">
        <v>8</v>
      </c>
    </row>
    <row r="20" spans="1:9" x14ac:dyDescent="0.3">
      <c r="A20" s="3">
        <v>20</v>
      </c>
      <c r="B20" s="11">
        <v>52000</v>
      </c>
      <c r="C20" s="7">
        <v>42</v>
      </c>
      <c r="D20" s="7">
        <v>1</v>
      </c>
      <c r="E20" s="7">
        <v>1</v>
      </c>
      <c r="F20" s="20" t="s">
        <v>18</v>
      </c>
      <c r="G20" s="20" t="s">
        <v>11</v>
      </c>
      <c r="H20" s="20" t="s">
        <v>14</v>
      </c>
      <c r="I20" s="19" t="s">
        <v>9</v>
      </c>
    </row>
    <row r="21" spans="1:9" x14ac:dyDescent="0.3">
      <c r="A21" s="3">
        <v>21</v>
      </c>
      <c r="B21" s="11">
        <v>76000</v>
      </c>
      <c r="C21" s="7">
        <v>75</v>
      </c>
      <c r="D21" s="7">
        <v>3</v>
      </c>
      <c r="E21" s="7">
        <v>1</v>
      </c>
      <c r="F21" s="20" t="s">
        <v>18</v>
      </c>
      <c r="G21" s="20" t="s">
        <v>11</v>
      </c>
      <c r="H21" s="20" t="s">
        <v>14</v>
      </c>
      <c r="I21" s="19" t="s">
        <v>16</v>
      </c>
    </row>
    <row r="22" spans="1:9" x14ac:dyDescent="0.3">
      <c r="A22" s="3">
        <v>22</v>
      </c>
      <c r="B22" s="11">
        <v>31500</v>
      </c>
      <c r="C22" s="7">
        <v>70</v>
      </c>
      <c r="D22" s="7">
        <v>3</v>
      </c>
      <c r="E22" s="7">
        <v>1</v>
      </c>
      <c r="F22" s="20" t="s">
        <v>6</v>
      </c>
      <c r="G22" s="20" t="s">
        <v>11</v>
      </c>
      <c r="H22" s="20" t="s">
        <v>7</v>
      </c>
      <c r="I22" s="19" t="s">
        <v>16</v>
      </c>
    </row>
    <row r="23" spans="1:9" x14ac:dyDescent="0.3">
      <c r="A23" s="3">
        <v>23</v>
      </c>
      <c r="B23" s="11">
        <v>65000</v>
      </c>
      <c r="C23" s="7">
        <v>70</v>
      </c>
      <c r="D23" s="7">
        <v>3</v>
      </c>
      <c r="E23" s="7">
        <v>1</v>
      </c>
      <c r="F23" s="20" t="s">
        <v>6</v>
      </c>
      <c r="G23" s="20" t="s">
        <v>11</v>
      </c>
      <c r="H23" s="20" t="s">
        <v>14</v>
      </c>
      <c r="I23" s="19" t="s">
        <v>8</v>
      </c>
    </row>
    <row r="24" spans="1:9" x14ac:dyDescent="0.3">
      <c r="A24" s="3">
        <v>24</v>
      </c>
      <c r="B24" s="11">
        <v>45000</v>
      </c>
      <c r="C24" s="7">
        <v>40</v>
      </c>
      <c r="D24" s="7">
        <v>1</v>
      </c>
      <c r="E24" s="7">
        <v>1</v>
      </c>
      <c r="F24" s="20" t="s">
        <v>18</v>
      </c>
      <c r="G24" s="20" t="s">
        <v>12</v>
      </c>
      <c r="H24" s="20" t="s">
        <v>14</v>
      </c>
      <c r="I24" s="19" t="s">
        <v>9</v>
      </c>
    </row>
    <row r="25" spans="1:9" x14ac:dyDescent="0.3">
      <c r="A25" s="3">
        <v>25</v>
      </c>
      <c r="B25" s="11">
        <v>46000</v>
      </c>
      <c r="C25" s="7">
        <v>78</v>
      </c>
      <c r="D25" s="7">
        <v>3</v>
      </c>
      <c r="E25" s="7">
        <v>1</v>
      </c>
      <c r="F25" s="20" t="s">
        <v>17</v>
      </c>
      <c r="G25" s="20" t="s">
        <v>12</v>
      </c>
      <c r="H25" s="20" t="s">
        <v>14</v>
      </c>
      <c r="I25" s="19" t="s">
        <v>8</v>
      </c>
    </row>
    <row r="26" spans="1:9" x14ac:dyDescent="0.3">
      <c r="A26" s="3">
        <v>26</v>
      </c>
      <c r="B26" s="11">
        <v>60000</v>
      </c>
      <c r="C26" s="7">
        <v>80</v>
      </c>
      <c r="D26" s="7">
        <v>3</v>
      </c>
      <c r="E26" s="7">
        <v>1</v>
      </c>
      <c r="F26" s="20" t="s">
        <v>18</v>
      </c>
      <c r="G26" s="20" t="s">
        <v>11</v>
      </c>
      <c r="H26" s="20" t="s">
        <v>7</v>
      </c>
      <c r="I26" s="19" t="s">
        <v>8</v>
      </c>
    </row>
    <row r="27" spans="1:9" x14ac:dyDescent="0.3">
      <c r="A27" s="3">
        <v>27</v>
      </c>
      <c r="B27" s="11">
        <v>62000</v>
      </c>
      <c r="C27" s="7">
        <v>100</v>
      </c>
      <c r="D27" s="7">
        <v>4</v>
      </c>
      <c r="E27" s="7">
        <v>1</v>
      </c>
      <c r="F27" s="20" t="s">
        <v>17</v>
      </c>
      <c r="G27" s="20" t="s">
        <v>11</v>
      </c>
      <c r="H27" s="20" t="s">
        <v>7</v>
      </c>
      <c r="I27" s="19" t="s">
        <v>16</v>
      </c>
    </row>
    <row r="28" spans="1:9" x14ac:dyDescent="0.3">
      <c r="A28" s="3">
        <v>28</v>
      </c>
      <c r="B28" s="11">
        <v>190000</v>
      </c>
      <c r="C28" s="7">
        <v>200</v>
      </c>
      <c r="D28" s="7">
        <v>7</v>
      </c>
      <c r="E28" s="7">
        <v>2</v>
      </c>
      <c r="F28" s="20" t="s">
        <v>17</v>
      </c>
      <c r="G28" s="20" t="s">
        <v>12</v>
      </c>
      <c r="H28" s="20" t="s">
        <v>14</v>
      </c>
      <c r="I28" s="19" t="s">
        <v>8</v>
      </c>
    </row>
    <row r="29" spans="1:9" x14ac:dyDescent="0.3">
      <c r="A29" s="3">
        <v>29</v>
      </c>
      <c r="B29" s="11">
        <v>52700</v>
      </c>
      <c r="C29" s="7">
        <v>80</v>
      </c>
      <c r="D29" s="7">
        <v>3</v>
      </c>
      <c r="E29" s="7">
        <v>1</v>
      </c>
      <c r="F29" s="20" t="s">
        <v>6</v>
      </c>
      <c r="G29" s="20" t="s">
        <v>11</v>
      </c>
      <c r="H29" s="20" t="s">
        <v>7</v>
      </c>
      <c r="I29" s="19" t="s">
        <v>16</v>
      </c>
    </row>
    <row r="30" spans="1:9" x14ac:dyDescent="0.3">
      <c r="A30" s="3">
        <v>30</v>
      </c>
      <c r="B30" s="11">
        <v>55000</v>
      </c>
      <c r="C30" s="7">
        <v>80</v>
      </c>
      <c r="D30" s="7">
        <v>2</v>
      </c>
      <c r="E30" s="7">
        <v>1</v>
      </c>
      <c r="F30" s="20" t="s">
        <v>18</v>
      </c>
      <c r="G30" s="20" t="s">
        <v>11</v>
      </c>
      <c r="H30" s="20" t="s">
        <v>14</v>
      </c>
      <c r="I30" s="19" t="s">
        <v>16</v>
      </c>
    </row>
    <row r="31" spans="1:9" x14ac:dyDescent="0.3">
      <c r="A31" s="3">
        <v>31</v>
      </c>
      <c r="B31" s="11">
        <v>20500</v>
      </c>
      <c r="C31" s="7">
        <v>37</v>
      </c>
      <c r="D31" s="7">
        <v>1</v>
      </c>
      <c r="E31" s="7">
        <v>1</v>
      </c>
      <c r="F31" s="20" t="s">
        <v>17</v>
      </c>
      <c r="G31" s="20" t="s">
        <v>12</v>
      </c>
      <c r="H31" s="20" t="s">
        <v>15</v>
      </c>
      <c r="I31" s="19" t="s">
        <v>16</v>
      </c>
    </row>
    <row r="32" spans="1:9" x14ac:dyDescent="0.3">
      <c r="A32" s="3">
        <v>32</v>
      </c>
      <c r="B32" s="11">
        <v>40500</v>
      </c>
      <c r="C32" s="7">
        <v>82</v>
      </c>
      <c r="D32" s="7">
        <v>4</v>
      </c>
      <c r="E32" s="7">
        <v>1</v>
      </c>
      <c r="F32" s="20" t="s">
        <v>6</v>
      </c>
      <c r="G32" s="20" t="s">
        <v>11</v>
      </c>
      <c r="H32" s="20" t="s">
        <v>7</v>
      </c>
      <c r="I32" s="19" t="s">
        <v>9</v>
      </c>
    </row>
    <row r="33" spans="1:9" x14ac:dyDescent="0.3">
      <c r="A33" s="3">
        <v>33</v>
      </c>
      <c r="B33" s="11">
        <v>58000</v>
      </c>
      <c r="C33" s="7">
        <v>70</v>
      </c>
      <c r="D33" s="7">
        <v>3</v>
      </c>
      <c r="E33" s="7">
        <v>1</v>
      </c>
      <c r="F33" s="20" t="s">
        <v>17</v>
      </c>
      <c r="G33" s="20" t="s">
        <v>11</v>
      </c>
      <c r="H33" s="20" t="s">
        <v>14</v>
      </c>
      <c r="I33" s="19" t="s">
        <v>16</v>
      </c>
    </row>
    <row r="34" spans="1:9" x14ac:dyDescent="0.3">
      <c r="A34" s="3">
        <v>34</v>
      </c>
      <c r="B34" s="11">
        <v>33000</v>
      </c>
      <c r="C34" s="7">
        <v>76</v>
      </c>
      <c r="D34" s="7">
        <v>2</v>
      </c>
      <c r="E34" s="7">
        <v>1</v>
      </c>
      <c r="F34" s="20" t="s">
        <v>13</v>
      </c>
      <c r="G34" s="20" t="s">
        <v>12</v>
      </c>
      <c r="H34" s="20" t="s">
        <v>7</v>
      </c>
      <c r="I34" s="19" t="s">
        <v>8</v>
      </c>
    </row>
    <row r="35" spans="1:9" x14ac:dyDescent="0.3">
      <c r="A35" s="3">
        <v>35</v>
      </c>
      <c r="B35" s="11">
        <v>87000</v>
      </c>
      <c r="C35" s="7">
        <v>100</v>
      </c>
      <c r="D35" s="7">
        <v>3</v>
      </c>
      <c r="E35" s="7">
        <v>1</v>
      </c>
      <c r="F35" s="20" t="s">
        <v>18</v>
      </c>
      <c r="G35" s="20" t="s">
        <v>11</v>
      </c>
      <c r="H35" s="20" t="s">
        <v>14</v>
      </c>
      <c r="I35" s="19" t="s">
        <v>16</v>
      </c>
    </row>
    <row r="36" spans="1:9" x14ac:dyDescent="0.3">
      <c r="A36" s="3">
        <v>36</v>
      </c>
      <c r="B36" s="11">
        <v>19000</v>
      </c>
      <c r="C36" s="7">
        <v>43</v>
      </c>
      <c r="D36" s="7">
        <v>1</v>
      </c>
      <c r="E36" s="7">
        <v>1</v>
      </c>
      <c r="F36" s="20" t="s">
        <v>13</v>
      </c>
      <c r="G36" s="20" t="s">
        <v>12</v>
      </c>
      <c r="H36" s="20" t="s">
        <v>15</v>
      </c>
      <c r="I36" s="19" t="s">
        <v>8</v>
      </c>
    </row>
    <row r="37" spans="1:9" x14ac:dyDescent="0.3">
      <c r="A37" s="3">
        <v>37</v>
      </c>
      <c r="B37" s="11">
        <v>28000</v>
      </c>
      <c r="C37" s="7">
        <v>50</v>
      </c>
      <c r="D37" s="7">
        <v>2</v>
      </c>
      <c r="E37" s="7">
        <v>1</v>
      </c>
      <c r="F37" s="20" t="s">
        <v>6</v>
      </c>
      <c r="G37" s="20" t="s">
        <v>12</v>
      </c>
      <c r="H37" s="20" t="s">
        <v>7</v>
      </c>
      <c r="I37" s="19" t="s">
        <v>8</v>
      </c>
    </row>
    <row r="38" spans="1:9" x14ac:dyDescent="0.3">
      <c r="A38" s="3">
        <v>38</v>
      </c>
      <c r="B38" s="11">
        <v>46000</v>
      </c>
      <c r="C38" s="7">
        <v>93</v>
      </c>
      <c r="D38" s="7">
        <v>4</v>
      </c>
      <c r="E38" s="7">
        <v>1</v>
      </c>
      <c r="F38" s="20" t="s">
        <v>17</v>
      </c>
      <c r="G38" s="20" t="s">
        <v>12</v>
      </c>
      <c r="H38" s="20" t="s">
        <v>7</v>
      </c>
      <c r="I38" s="19" t="s">
        <v>8</v>
      </c>
    </row>
    <row r="39" spans="1:9" x14ac:dyDescent="0.3">
      <c r="A39" s="3">
        <v>40</v>
      </c>
      <c r="B39" s="11">
        <v>38000</v>
      </c>
      <c r="C39" s="7">
        <v>84</v>
      </c>
      <c r="D39" s="7">
        <v>3</v>
      </c>
      <c r="E39" s="7">
        <v>1</v>
      </c>
      <c r="F39" s="20" t="s">
        <v>13</v>
      </c>
      <c r="G39" s="20" t="s">
        <v>12</v>
      </c>
      <c r="H39" s="20" t="s">
        <v>15</v>
      </c>
      <c r="I39" s="19" t="s">
        <v>8</v>
      </c>
    </row>
    <row r="40" spans="1:9" x14ac:dyDescent="0.3">
      <c r="A40" s="3">
        <v>41</v>
      </c>
      <c r="B40" s="11">
        <v>33000</v>
      </c>
      <c r="C40" s="7">
        <v>60</v>
      </c>
      <c r="D40" s="7">
        <v>2</v>
      </c>
      <c r="E40" s="7">
        <v>1</v>
      </c>
      <c r="F40" s="20" t="s">
        <v>17</v>
      </c>
      <c r="G40" s="20" t="s">
        <v>12</v>
      </c>
      <c r="H40" s="20" t="s">
        <v>7</v>
      </c>
      <c r="I40" s="19" t="s">
        <v>8</v>
      </c>
    </row>
    <row r="41" spans="1:9" x14ac:dyDescent="0.3">
      <c r="A41" s="3">
        <v>42</v>
      </c>
      <c r="B41" s="11">
        <v>64000</v>
      </c>
      <c r="C41" s="7">
        <v>82</v>
      </c>
      <c r="D41" s="7">
        <v>2</v>
      </c>
      <c r="E41" s="7">
        <v>1</v>
      </c>
      <c r="F41" s="20" t="s">
        <v>18</v>
      </c>
      <c r="G41" s="20" t="s">
        <v>11</v>
      </c>
      <c r="H41" s="20" t="s">
        <v>15</v>
      </c>
      <c r="I41" s="19" t="s">
        <v>8</v>
      </c>
    </row>
    <row r="42" spans="1:9" x14ac:dyDescent="0.3">
      <c r="A42" s="3">
        <v>43</v>
      </c>
      <c r="B42" s="11">
        <v>26700</v>
      </c>
      <c r="C42" s="7">
        <v>50</v>
      </c>
      <c r="D42" s="7">
        <v>2</v>
      </c>
      <c r="E42" s="7">
        <v>1</v>
      </c>
      <c r="F42" s="20" t="s">
        <v>6</v>
      </c>
      <c r="G42" s="20" t="s">
        <v>12</v>
      </c>
      <c r="H42" s="20" t="s">
        <v>15</v>
      </c>
      <c r="I42" s="19" t="s">
        <v>9</v>
      </c>
    </row>
    <row r="43" spans="1:9" x14ac:dyDescent="0.3">
      <c r="A43" s="3">
        <v>44</v>
      </c>
      <c r="B43" s="11">
        <v>92000</v>
      </c>
      <c r="C43" s="7">
        <v>100</v>
      </c>
      <c r="D43" s="7">
        <v>4</v>
      </c>
      <c r="E43" s="7">
        <v>1</v>
      </c>
      <c r="F43" s="20" t="s">
        <v>18</v>
      </c>
      <c r="G43" s="20" t="s">
        <v>12</v>
      </c>
      <c r="H43" s="20" t="s">
        <v>7</v>
      </c>
      <c r="I43" s="19" t="s">
        <v>9</v>
      </c>
    </row>
    <row r="44" spans="1:9" x14ac:dyDescent="0.3">
      <c r="A44" s="3">
        <v>45</v>
      </c>
      <c r="B44" s="11">
        <v>36000</v>
      </c>
      <c r="C44" s="7">
        <v>57</v>
      </c>
      <c r="D44" s="7">
        <v>2</v>
      </c>
      <c r="E44" s="7">
        <v>1</v>
      </c>
      <c r="F44" s="20" t="s">
        <v>17</v>
      </c>
      <c r="G44" s="20" t="s">
        <v>12</v>
      </c>
      <c r="H44" s="20" t="s">
        <v>7</v>
      </c>
      <c r="I44" s="19" t="s">
        <v>9</v>
      </c>
    </row>
    <row r="45" spans="1:9" x14ac:dyDescent="0.3">
      <c r="A45" s="3">
        <v>46</v>
      </c>
      <c r="B45" s="11">
        <v>103000</v>
      </c>
      <c r="C45" s="7">
        <v>100</v>
      </c>
      <c r="D45" s="7">
        <v>3</v>
      </c>
      <c r="E45" s="7">
        <v>1</v>
      </c>
      <c r="F45" s="20" t="s">
        <v>18</v>
      </c>
      <c r="G45" s="20" t="s">
        <v>12</v>
      </c>
      <c r="H45" s="20" t="s">
        <v>7</v>
      </c>
      <c r="I45" s="19" t="s">
        <v>8</v>
      </c>
    </row>
    <row r="46" spans="1:9" x14ac:dyDescent="0.3">
      <c r="A46" s="3">
        <v>47</v>
      </c>
      <c r="B46" s="11">
        <v>38900</v>
      </c>
      <c r="C46" s="7">
        <v>95</v>
      </c>
      <c r="D46" s="7">
        <v>4</v>
      </c>
      <c r="E46" s="7">
        <v>1</v>
      </c>
      <c r="F46" s="20" t="s">
        <v>13</v>
      </c>
      <c r="G46" s="20" t="s">
        <v>12</v>
      </c>
      <c r="H46" s="20" t="s">
        <v>7</v>
      </c>
      <c r="I46" s="19" t="s">
        <v>16</v>
      </c>
    </row>
    <row r="47" spans="1:9" x14ac:dyDescent="0.3">
      <c r="A47" s="3">
        <v>48</v>
      </c>
      <c r="B47" s="11">
        <v>46500</v>
      </c>
      <c r="C47" s="7">
        <v>103</v>
      </c>
      <c r="D47" s="7">
        <v>4</v>
      </c>
      <c r="E47" s="7">
        <v>1</v>
      </c>
      <c r="F47" s="20" t="s">
        <v>13</v>
      </c>
      <c r="G47" s="20" t="s">
        <v>12</v>
      </c>
      <c r="H47" s="20" t="s">
        <v>14</v>
      </c>
      <c r="I47" s="19" t="s">
        <v>8</v>
      </c>
    </row>
    <row r="48" spans="1:9" x14ac:dyDescent="0.3">
      <c r="A48" s="3">
        <v>49</v>
      </c>
      <c r="B48" s="11">
        <v>25500</v>
      </c>
      <c r="C48" s="7">
        <v>52</v>
      </c>
      <c r="D48" s="7">
        <v>2</v>
      </c>
      <c r="E48" s="7">
        <v>1</v>
      </c>
      <c r="F48" s="20" t="s">
        <v>13</v>
      </c>
      <c r="G48" s="20" t="s">
        <v>12</v>
      </c>
      <c r="H48" s="20" t="s">
        <v>15</v>
      </c>
      <c r="I48" s="19" t="s">
        <v>8</v>
      </c>
    </row>
    <row r="49" spans="1:9" x14ac:dyDescent="0.3">
      <c r="A49" s="3">
        <v>50</v>
      </c>
      <c r="B49" s="11">
        <v>25700</v>
      </c>
      <c r="C49" s="6">
        <v>60</v>
      </c>
      <c r="D49" s="6">
        <v>2</v>
      </c>
      <c r="E49" s="6">
        <v>1</v>
      </c>
      <c r="F49" s="18" t="s">
        <v>13</v>
      </c>
      <c r="G49" s="18" t="s">
        <v>11</v>
      </c>
      <c r="H49" s="18" t="s">
        <v>7</v>
      </c>
      <c r="I49" s="19" t="s">
        <v>8</v>
      </c>
    </row>
    <row r="50" spans="1:9" x14ac:dyDescent="0.3">
      <c r="A50" s="3">
        <v>51</v>
      </c>
      <c r="B50" s="12">
        <v>76000</v>
      </c>
      <c r="C50" s="7">
        <v>115</v>
      </c>
      <c r="D50" s="7">
        <v>5</v>
      </c>
      <c r="E50" s="7">
        <v>2</v>
      </c>
      <c r="F50" s="20" t="s">
        <v>13</v>
      </c>
      <c r="G50" s="20" t="s">
        <v>12</v>
      </c>
      <c r="H50" s="20" t="s">
        <v>14</v>
      </c>
      <c r="I50" s="21" t="s">
        <v>8</v>
      </c>
    </row>
    <row r="51" spans="1:9" x14ac:dyDescent="0.3">
      <c r="A51" s="3">
        <v>52</v>
      </c>
      <c r="B51" s="12">
        <v>41500</v>
      </c>
      <c r="C51" s="7">
        <v>77</v>
      </c>
      <c r="D51" s="7">
        <v>3</v>
      </c>
      <c r="E51" s="7">
        <v>1</v>
      </c>
      <c r="F51" s="20" t="s">
        <v>13</v>
      </c>
      <c r="G51" s="20" t="s">
        <v>12</v>
      </c>
      <c r="H51" s="20" t="s">
        <v>7</v>
      </c>
      <c r="I51" s="21" t="s">
        <v>8</v>
      </c>
    </row>
    <row r="52" spans="1:9" x14ac:dyDescent="0.3">
      <c r="A52" s="3">
        <v>53</v>
      </c>
      <c r="B52" s="12">
        <v>33000</v>
      </c>
      <c r="C52" s="7">
        <v>70</v>
      </c>
      <c r="D52" s="7">
        <v>3</v>
      </c>
      <c r="E52" s="7">
        <v>1</v>
      </c>
      <c r="F52" s="20" t="s">
        <v>13</v>
      </c>
      <c r="G52" s="20" t="s">
        <v>11</v>
      </c>
      <c r="H52" s="20" t="s">
        <v>7</v>
      </c>
      <c r="I52" s="21" t="s">
        <v>8</v>
      </c>
    </row>
    <row r="53" spans="1:9" x14ac:dyDescent="0.3">
      <c r="A53" s="3">
        <v>54</v>
      </c>
      <c r="B53" s="12">
        <v>178000</v>
      </c>
      <c r="C53" s="7">
        <v>100</v>
      </c>
      <c r="D53" s="7">
        <v>2</v>
      </c>
      <c r="E53" s="7">
        <v>1</v>
      </c>
      <c r="F53" s="20" t="s">
        <v>18</v>
      </c>
      <c r="G53" s="20" t="s">
        <v>12</v>
      </c>
      <c r="H53" s="20" t="s">
        <v>14</v>
      </c>
      <c r="I53" s="21" t="s">
        <v>8</v>
      </c>
    </row>
    <row r="54" spans="1:9" x14ac:dyDescent="0.3">
      <c r="A54" s="3">
        <v>55</v>
      </c>
      <c r="B54" s="12">
        <v>40000</v>
      </c>
      <c r="C54" s="7">
        <v>63</v>
      </c>
      <c r="D54" s="7">
        <v>2</v>
      </c>
      <c r="E54" s="7">
        <v>1</v>
      </c>
      <c r="F54" s="20" t="s">
        <v>18</v>
      </c>
      <c r="G54" s="20" t="s">
        <v>12</v>
      </c>
      <c r="H54" s="20" t="s">
        <v>15</v>
      </c>
      <c r="I54" s="21" t="s">
        <v>8</v>
      </c>
    </row>
    <row r="55" spans="1:9" x14ac:dyDescent="0.3">
      <c r="A55" s="3">
        <v>56</v>
      </c>
      <c r="B55" s="12">
        <v>43100</v>
      </c>
      <c r="C55" s="7">
        <v>38</v>
      </c>
      <c r="D55" s="7">
        <v>1</v>
      </c>
      <c r="E55" s="7">
        <v>1</v>
      </c>
      <c r="F55" s="20" t="s">
        <v>18</v>
      </c>
      <c r="G55" s="20" t="s">
        <v>11</v>
      </c>
      <c r="H55" s="20" t="s">
        <v>7</v>
      </c>
      <c r="I55" s="21" t="s">
        <v>8</v>
      </c>
    </row>
    <row r="56" spans="1:9" x14ac:dyDescent="0.3">
      <c r="A56" s="4">
        <v>57</v>
      </c>
      <c r="B56" s="13">
        <v>22900</v>
      </c>
      <c r="C56" s="8">
        <v>59</v>
      </c>
      <c r="D56" s="8">
        <v>1</v>
      </c>
      <c r="E56" s="8">
        <v>1</v>
      </c>
      <c r="F56" s="22" t="s">
        <v>17</v>
      </c>
      <c r="G56" s="22" t="s">
        <v>12</v>
      </c>
      <c r="H56" s="22" t="s">
        <v>7</v>
      </c>
      <c r="I56" s="2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2AB4-0D2A-44F9-A225-0F76F25A6DBC}">
  <dimension ref="A1:BK84"/>
  <sheetViews>
    <sheetView topLeftCell="AU1" workbookViewId="0">
      <selection activeCell="AO1" sqref="AO1:AT18"/>
    </sheetView>
  </sheetViews>
  <sheetFormatPr defaultRowHeight="14.4" x14ac:dyDescent="0.3"/>
  <cols>
    <col min="12" max="12" width="11.77734375" customWidth="1"/>
    <col min="22" max="22" width="9.33203125" bestFit="1" customWidth="1"/>
    <col min="46" max="46" width="11.5546875" customWidth="1"/>
    <col min="52" max="52" width="58.109375" bestFit="1" customWidth="1"/>
  </cols>
  <sheetData>
    <row r="1" spans="1:63" ht="16.8" thickBot="1" x14ac:dyDescent="0.35">
      <c r="A1" s="38" t="s">
        <v>90</v>
      </c>
      <c r="B1" s="1" t="s">
        <v>4</v>
      </c>
      <c r="C1" s="1" t="s">
        <v>5</v>
      </c>
      <c r="D1" s="1" t="s">
        <v>0</v>
      </c>
      <c r="E1" s="1" t="s">
        <v>1</v>
      </c>
      <c r="F1" s="14" t="s">
        <v>31</v>
      </c>
      <c r="G1" s="14" t="s">
        <v>10</v>
      </c>
      <c r="H1" s="14" t="s">
        <v>2</v>
      </c>
      <c r="I1" s="15" t="s">
        <v>3</v>
      </c>
      <c r="K1" s="58" t="s">
        <v>33</v>
      </c>
      <c r="L1" s="27"/>
      <c r="M1" s="27"/>
      <c r="V1" s="37" t="s">
        <v>52</v>
      </c>
      <c r="W1" s="30"/>
      <c r="X1" s="30" t="s">
        <v>4</v>
      </c>
      <c r="Y1" s="30" t="s">
        <v>48</v>
      </c>
      <c r="Z1" s="30" t="s">
        <v>0</v>
      </c>
      <c r="AA1" s="30" t="s">
        <v>1</v>
      </c>
      <c r="AC1" s="59" t="s">
        <v>53</v>
      </c>
      <c r="AD1" s="41" t="s">
        <v>148</v>
      </c>
      <c r="AE1" s="41"/>
      <c r="AF1" s="41"/>
      <c r="AN1" s="60" t="s">
        <v>54</v>
      </c>
      <c r="AO1" t="s">
        <v>55</v>
      </c>
      <c r="AX1" s="38" t="s">
        <v>80</v>
      </c>
      <c r="AY1" t="s">
        <v>152</v>
      </c>
      <c r="AZ1" t="s">
        <v>159</v>
      </c>
      <c r="BE1" s="38" t="s">
        <v>81</v>
      </c>
    </row>
    <row r="2" spans="1:63" ht="16.8" thickBot="1" x14ac:dyDescent="0.35">
      <c r="B2" s="10">
        <v>28500</v>
      </c>
      <c r="C2" s="5">
        <v>56</v>
      </c>
      <c r="D2" s="5">
        <v>2</v>
      </c>
      <c r="E2" s="5">
        <v>1</v>
      </c>
      <c r="F2" s="16" t="s">
        <v>6</v>
      </c>
      <c r="G2" s="16" t="s">
        <v>11</v>
      </c>
      <c r="H2" s="16" t="s">
        <v>7</v>
      </c>
      <c r="I2" s="17" t="s">
        <v>8</v>
      </c>
      <c r="L2" s="31" t="s">
        <v>4</v>
      </c>
      <c r="M2" s="31"/>
      <c r="N2" s="31" t="s">
        <v>48</v>
      </c>
      <c r="O2" s="31"/>
      <c r="P2" s="31" t="s">
        <v>0</v>
      </c>
      <c r="Q2" s="31"/>
      <c r="R2" s="31" t="s">
        <v>1</v>
      </c>
      <c r="S2" s="31"/>
      <c r="V2" s="11"/>
      <c r="W2" s="28" t="s">
        <v>4</v>
      </c>
      <c r="X2" s="28">
        <v>1</v>
      </c>
      <c r="Y2" s="28"/>
      <c r="Z2" s="28"/>
      <c r="AA2" s="28"/>
      <c r="AD2" s="1" t="s">
        <v>5</v>
      </c>
      <c r="AE2" s="1" t="s">
        <v>4</v>
      </c>
      <c r="BE2" s="40" t="s">
        <v>149</v>
      </c>
      <c r="BF2" s="40"/>
      <c r="BG2" s="40"/>
      <c r="BH2" s="40"/>
      <c r="BI2" s="40"/>
      <c r="BJ2" s="40"/>
      <c r="BK2" s="40"/>
    </row>
    <row r="3" spans="1:63" x14ac:dyDescent="0.3">
      <c r="B3" s="11">
        <v>27500</v>
      </c>
      <c r="C3" s="6">
        <v>50</v>
      </c>
      <c r="D3" s="6">
        <v>2</v>
      </c>
      <c r="E3" s="7">
        <v>1</v>
      </c>
      <c r="F3" s="18" t="s">
        <v>6</v>
      </c>
      <c r="G3" s="18" t="s">
        <v>12</v>
      </c>
      <c r="H3" s="18" t="s">
        <v>7</v>
      </c>
      <c r="I3" s="19" t="s">
        <v>9</v>
      </c>
      <c r="L3" s="28"/>
      <c r="M3" s="28"/>
      <c r="N3" s="28"/>
      <c r="O3" s="28"/>
      <c r="P3" s="28"/>
      <c r="Q3" s="28"/>
      <c r="R3" s="28"/>
      <c r="S3" s="28"/>
      <c r="V3" s="11"/>
      <c r="W3" s="28" t="s">
        <v>48</v>
      </c>
      <c r="X3" s="28">
        <v>0.76852197443697934</v>
      </c>
      <c r="Y3" s="28">
        <v>1</v>
      </c>
      <c r="Z3" s="28"/>
      <c r="AA3" s="28"/>
      <c r="AD3" s="5">
        <v>56</v>
      </c>
      <c r="AE3" s="10">
        <v>28500</v>
      </c>
      <c r="AO3" s="31" t="s">
        <v>56</v>
      </c>
      <c r="AP3" s="31"/>
      <c r="AY3" t="s">
        <v>153</v>
      </c>
      <c r="AZ3" t="s">
        <v>154</v>
      </c>
      <c r="BE3" s="40" t="s">
        <v>150</v>
      </c>
      <c r="BF3" s="40"/>
      <c r="BG3" s="40"/>
      <c r="BH3" s="40"/>
      <c r="BI3" s="40"/>
      <c r="BJ3" s="40"/>
      <c r="BK3" s="40"/>
    </row>
    <row r="4" spans="1:63" x14ac:dyDescent="0.3">
      <c r="B4" s="11">
        <v>28999</v>
      </c>
      <c r="C4" s="6">
        <v>62</v>
      </c>
      <c r="D4" s="6">
        <v>2</v>
      </c>
      <c r="E4" s="7">
        <v>1</v>
      </c>
      <c r="F4" s="18" t="s">
        <v>13</v>
      </c>
      <c r="G4" s="18" t="s">
        <v>12</v>
      </c>
      <c r="H4" s="18" t="s">
        <v>14</v>
      </c>
      <c r="I4" s="19" t="s">
        <v>8</v>
      </c>
      <c r="L4" s="28" t="s">
        <v>34</v>
      </c>
      <c r="M4" s="28">
        <v>48754.454545454544</v>
      </c>
      <c r="N4" s="28" t="s">
        <v>34</v>
      </c>
      <c r="O4" s="28">
        <v>71.290909090909096</v>
      </c>
      <c r="P4" s="28" t="s">
        <v>34</v>
      </c>
      <c r="Q4" s="28">
        <v>2.5272727272727273</v>
      </c>
      <c r="R4" s="28" t="s">
        <v>34</v>
      </c>
      <c r="S4" s="28">
        <v>1.0545454545454545</v>
      </c>
      <c r="V4" s="11"/>
      <c r="W4" s="28" t="s">
        <v>0</v>
      </c>
      <c r="X4" s="28">
        <v>0.56892722859700651</v>
      </c>
      <c r="Y4" s="28">
        <v>0.89050050883066256</v>
      </c>
      <c r="Z4" s="28">
        <v>1</v>
      </c>
      <c r="AA4" s="28"/>
      <c r="AD4" s="6">
        <v>50</v>
      </c>
      <c r="AE4" s="11">
        <v>27500</v>
      </c>
      <c r="AO4" s="28" t="s">
        <v>57</v>
      </c>
      <c r="AP4" s="28">
        <v>0.76852197443697912</v>
      </c>
      <c r="AZ4" t="s">
        <v>155</v>
      </c>
    </row>
    <row r="5" spans="1:63" ht="15" thickBot="1" x14ac:dyDescent="0.35">
      <c r="B5" s="11">
        <v>19500</v>
      </c>
      <c r="C5" s="7">
        <v>32</v>
      </c>
      <c r="D5" s="7">
        <v>1</v>
      </c>
      <c r="E5" s="7">
        <v>1</v>
      </c>
      <c r="F5" s="20" t="s">
        <v>6</v>
      </c>
      <c r="G5" s="20" t="s">
        <v>12</v>
      </c>
      <c r="H5" s="20" t="s">
        <v>15</v>
      </c>
      <c r="I5" s="19" t="s">
        <v>16</v>
      </c>
      <c r="L5" s="28" t="s">
        <v>38</v>
      </c>
      <c r="M5" s="28">
        <v>4423.8195524765924</v>
      </c>
      <c r="N5" s="28" t="s">
        <v>38</v>
      </c>
      <c r="O5" s="28">
        <v>4.0077931429842195</v>
      </c>
      <c r="P5" s="28" t="s">
        <v>38</v>
      </c>
      <c r="Q5" s="28">
        <v>0.16175499087746248</v>
      </c>
      <c r="R5" s="28" t="s">
        <v>38</v>
      </c>
      <c r="S5" s="28">
        <v>3.0903148567228995E-2</v>
      </c>
      <c r="V5" s="11"/>
      <c r="W5" s="29" t="s">
        <v>1</v>
      </c>
      <c r="X5" s="29">
        <v>0.49439043489812828</v>
      </c>
      <c r="Y5" s="29">
        <v>0.6826992145606704</v>
      </c>
      <c r="Z5" s="29">
        <v>0.56702398901662165</v>
      </c>
      <c r="AA5" s="29">
        <v>1</v>
      </c>
      <c r="AD5" s="6">
        <v>62</v>
      </c>
      <c r="AE5" s="11">
        <v>28999</v>
      </c>
      <c r="AO5" s="28" t="s">
        <v>58</v>
      </c>
      <c r="AP5" s="28">
        <v>0.59062602519251273</v>
      </c>
      <c r="BE5" s="40" t="s">
        <v>82</v>
      </c>
      <c r="BF5" s="40"/>
      <c r="BG5" s="42" t="s">
        <v>84</v>
      </c>
      <c r="BH5" s="42"/>
    </row>
    <row r="6" spans="1:63" x14ac:dyDescent="0.3">
      <c r="B6" s="11">
        <v>24500</v>
      </c>
      <c r="C6" s="7">
        <v>32</v>
      </c>
      <c r="D6" s="7">
        <v>1</v>
      </c>
      <c r="E6" s="7">
        <v>1</v>
      </c>
      <c r="F6" s="20" t="s">
        <v>6</v>
      </c>
      <c r="G6" s="20" t="s">
        <v>12</v>
      </c>
      <c r="H6" s="20" t="s">
        <v>14</v>
      </c>
      <c r="I6" s="19" t="s">
        <v>8</v>
      </c>
      <c r="L6" s="28" t="s">
        <v>35</v>
      </c>
      <c r="M6" s="28">
        <v>40500</v>
      </c>
      <c r="N6" s="28" t="s">
        <v>35</v>
      </c>
      <c r="O6" s="28">
        <v>70</v>
      </c>
      <c r="P6" s="28" t="s">
        <v>35</v>
      </c>
      <c r="Q6" s="28">
        <v>2</v>
      </c>
      <c r="R6" s="28" t="s">
        <v>35</v>
      </c>
      <c r="S6" s="28">
        <v>1</v>
      </c>
      <c r="V6" s="11"/>
      <c r="AD6" s="7">
        <v>32</v>
      </c>
      <c r="AE6" s="11">
        <v>19500</v>
      </c>
      <c r="AO6" s="28" t="s">
        <v>59</v>
      </c>
      <c r="AP6" s="28">
        <v>0.5829019879319941</v>
      </c>
    </row>
    <row r="7" spans="1:63" x14ac:dyDescent="0.3">
      <c r="B7" s="11">
        <v>47999</v>
      </c>
      <c r="C7" s="7">
        <v>85</v>
      </c>
      <c r="D7" s="7">
        <v>4</v>
      </c>
      <c r="E7" s="7">
        <v>1</v>
      </c>
      <c r="F7" s="20" t="s">
        <v>6</v>
      </c>
      <c r="G7" s="20" t="s">
        <v>11</v>
      </c>
      <c r="H7" s="20" t="s">
        <v>7</v>
      </c>
      <c r="I7" s="19" t="s">
        <v>9</v>
      </c>
      <c r="L7" s="28" t="s">
        <v>36</v>
      </c>
      <c r="M7" s="28">
        <v>33000</v>
      </c>
      <c r="N7" s="28" t="s">
        <v>36</v>
      </c>
      <c r="O7" s="28">
        <v>70</v>
      </c>
      <c r="P7" s="28" t="s">
        <v>36</v>
      </c>
      <c r="Q7" s="28">
        <v>2</v>
      </c>
      <c r="R7" s="28" t="s">
        <v>36</v>
      </c>
      <c r="S7" s="28">
        <v>1</v>
      </c>
      <c r="V7" s="11"/>
      <c r="AD7" s="7">
        <v>32</v>
      </c>
      <c r="AE7" s="11">
        <v>24500</v>
      </c>
      <c r="AO7" s="28" t="s">
        <v>38</v>
      </c>
      <c r="AP7" s="28">
        <v>21188.382702547879</v>
      </c>
      <c r="BE7" t="s">
        <v>83</v>
      </c>
      <c r="BF7">
        <f>_xlfn.T.INV.2T(0.1,AP13)</f>
        <v>1.6741162367030993</v>
      </c>
    </row>
    <row r="8" spans="1:63" ht="15" thickBot="1" x14ac:dyDescent="0.35">
      <c r="B8" s="11">
        <v>42000</v>
      </c>
      <c r="C8" s="7">
        <v>52</v>
      </c>
      <c r="D8" s="7">
        <v>2</v>
      </c>
      <c r="E8" s="7">
        <v>1</v>
      </c>
      <c r="F8" s="20" t="s">
        <v>17</v>
      </c>
      <c r="G8" s="20" t="s">
        <v>12</v>
      </c>
      <c r="H8" s="20" t="s">
        <v>7</v>
      </c>
      <c r="I8" s="19" t="s">
        <v>8</v>
      </c>
      <c r="L8" s="28" t="s">
        <v>39</v>
      </c>
      <c r="M8" s="28">
        <v>32807.923872261119</v>
      </c>
      <c r="N8" s="28" t="s">
        <v>39</v>
      </c>
      <c r="O8" s="28">
        <v>29.722589443591943</v>
      </c>
      <c r="P8" s="28" t="s">
        <v>39</v>
      </c>
      <c r="Q8" s="28">
        <v>1.1996071186256101</v>
      </c>
      <c r="R8" s="28" t="s">
        <v>39</v>
      </c>
      <c r="S8" s="28">
        <v>0.22918388365077619</v>
      </c>
      <c r="V8" s="11"/>
      <c r="AD8" s="7">
        <v>85</v>
      </c>
      <c r="AE8" s="11">
        <v>47999</v>
      </c>
      <c r="AO8" s="29" t="s">
        <v>60</v>
      </c>
      <c r="AP8" s="29">
        <v>55</v>
      </c>
      <c r="BE8" t="s">
        <v>86</v>
      </c>
      <c r="BF8">
        <f>AR18</f>
        <v>8.7444824360805971</v>
      </c>
    </row>
    <row r="9" spans="1:63" x14ac:dyDescent="0.3">
      <c r="B9" s="11">
        <v>25500</v>
      </c>
      <c r="C9" s="7">
        <v>50</v>
      </c>
      <c r="D9" s="7">
        <v>2</v>
      </c>
      <c r="E9" s="7">
        <v>1</v>
      </c>
      <c r="F9" s="20" t="s">
        <v>6</v>
      </c>
      <c r="G9" s="20" t="s">
        <v>12</v>
      </c>
      <c r="H9" s="20" t="s">
        <v>7</v>
      </c>
      <c r="I9" s="19" t="s">
        <v>16</v>
      </c>
      <c r="L9" s="28" t="s">
        <v>40</v>
      </c>
      <c r="M9" s="28">
        <v>1076359868.8080809</v>
      </c>
      <c r="N9" s="28" t="s">
        <v>40</v>
      </c>
      <c r="O9" s="28">
        <v>883.43232323232326</v>
      </c>
      <c r="P9" s="28" t="s">
        <v>40</v>
      </c>
      <c r="Q9" s="28">
        <v>1.4390572390572387</v>
      </c>
      <c r="R9" s="28" t="s">
        <v>40</v>
      </c>
      <c r="S9" s="28">
        <v>5.2525252525252517E-2</v>
      </c>
      <c r="V9" s="11"/>
      <c r="AD9" s="7">
        <v>52</v>
      </c>
      <c r="AE9" s="11">
        <v>42000</v>
      </c>
      <c r="BE9" s="43" t="s">
        <v>151</v>
      </c>
      <c r="BF9" s="43"/>
    </row>
    <row r="10" spans="1:63" ht="15" thickBot="1" x14ac:dyDescent="0.35">
      <c r="B10" s="11">
        <v>33500</v>
      </c>
      <c r="C10" s="7">
        <v>56</v>
      </c>
      <c r="D10" s="7">
        <v>2</v>
      </c>
      <c r="E10" s="7">
        <v>1</v>
      </c>
      <c r="F10" s="20" t="s">
        <v>6</v>
      </c>
      <c r="G10" s="20" t="s">
        <v>11</v>
      </c>
      <c r="H10" s="20" t="s">
        <v>7</v>
      </c>
      <c r="I10" s="19" t="s">
        <v>16</v>
      </c>
      <c r="L10" s="28" t="s">
        <v>41</v>
      </c>
      <c r="M10" s="28">
        <v>9.3295480010339151</v>
      </c>
      <c r="N10" s="28" t="s">
        <v>41</v>
      </c>
      <c r="O10" s="28">
        <v>5.7816767183162252</v>
      </c>
      <c r="P10" s="28" t="s">
        <v>41</v>
      </c>
      <c r="Q10" s="28">
        <v>2.188557905211852</v>
      </c>
      <c r="R10" s="28" t="s">
        <v>41</v>
      </c>
      <c r="S10" s="28">
        <v>14.81076253209781</v>
      </c>
      <c r="V10" s="11"/>
      <c r="AD10" s="7">
        <v>50</v>
      </c>
      <c r="AE10" s="11">
        <v>25500</v>
      </c>
      <c r="AO10" t="s">
        <v>61</v>
      </c>
      <c r="BE10" t="s">
        <v>85</v>
      </c>
      <c r="BG10" s="40" t="s">
        <v>87</v>
      </c>
      <c r="BH10" s="40"/>
    </row>
    <row r="11" spans="1:63" x14ac:dyDescent="0.3">
      <c r="B11" s="11">
        <v>23500</v>
      </c>
      <c r="C11" s="7">
        <v>34</v>
      </c>
      <c r="D11" s="7">
        <v>1</v>
      </c>
      <c r="E11" s="7">
        <v>1</v>
      </c>
      <c r="F11" s="20" t="s">
        <v>6</v>
      </c>
      <c r="G11" s="20" t="s">
        <v>12</v>
      </c>
      <c r="H11" s="20" t="s">
        <v>14</v>
      </c>
      <c r="I11" s="19" t="s">
        <v>8</v>
      </c>
      <c r="L11" s="28" t="s">
        <v>37</v>
      </c>
      <c r="M11" s="28">
        <v>2.7740455633832526</v>
      </c>
      <c r="N11" s="28" t="s">
        <v>37</v>
      </c>
      <c r="O11" s="28">
        <v>1.7694672478501365</v>
      </c>
      <c r="P11" s="28" t="s">
        <v>37</v>
      </c>
      <c r="Q11" s="28">
        <v>1.0688554318182986</v>
      </c>
      <c r="R11" s="28" t="s">
        <v>37</v>
      </c>
      <c r="S11" s="28">
        <v>4.0340022481491857</v>
      </c>
      <c r="V11" s="11"/>
      <c r="AD11" s="7">
        <v>56</v>
      </c>
      <c r="AE11" s="11">
        <v>33500</v>
      </c>
      <c r="AO11" s="30"/>
      <c r="AP11" s="30" t="s">
        <v>66</v>
      </c>
      <c r="AQ11" s="30" t="s">
        <v>67</v>
      </c>
      <c r="AR11" s="30" t="s">
        <v>68</v>
      </c>
      <c r="AS11" s="30" t="s">
        <v>69</v>
      </c>
      <c r="AT11" s="30" t="s">
        <v>70</v>
      </c>
      <c r="BE11" s="40" t="s">
        <v>88</v>
      </c>
      <c r="BF11" s="40"/>
      <c r="BG11" s="40"/>
      <c r="BH11" s="40"/>
      <c r="BI11" s="40"/>
      <c r="BJ11" s="40"/>
    </row>
    <row r="12" spans="1:63" x14ac:dyDescent="0.3">
      <c r="B12" s="11">
        <v>46498</v>
      </c>
      <c r="C12" s="7">
        <v>70</v>
      </c>
      <c r="D12" s="7">
        <v>3</v>
      </c>
      <c r="E12" s="7">
        <v>1</v>
      </c>
      <c r="F12" s="20" t="s">
        <v>6</v>
      </c>
      <c r="G12" s="20" t="s">
        <v>11</v>
      </c>
      <c r="H12" s="20" t="s">
        <v>14</v>
      </c>
      <c r="I12" s="19" t="s">
        <v>9</v>
      </c>
      <c r="L12" s="28" t="s">
        <v>42</v>
      </c>
      <c r="M12" s="28">
        <v>171000</v>
      </c>
      <c r="N12" s="28" t="s">
        <v>42</v>
      </c>
      <c r="O12" s="28">
        <v>170</v>
      </c>
      <c r="P12" s="28" t="s">
        <v>42</v>
      </c>
      <c r="Q12" s="28">
        <v>6</v>
      </c>
      <c r="R12" s="28" t="s">
        <v>42</v>
      </c>
      <c r="S12" s="28">
        <v>1</v>
      </c>
      <c r="V12" s="11"/>
      <c r="AD12" s="7">
        <v>34</v>
      </c>
      <c r="AE12" s="11">
        <v>23500</v>
      </c>
      <c r="AO12" s="28" t="s">
        <v>62</v>
      </c>
      <c r="AP12" s="28">
        <v>1</v>
      </c>
      <c r="AQ12" s="28">
        <v>34329212153.505962</v>
      </c>
      <c r="AR12" s="28">
        <v>34329212153.505962</v>
      </c>
      <c r="AS12" s="28">
        <v>76.465973074922118</v>
      </c>
      <c r="AT12" s="28">
        <v>7.3784783418826587E-12</v>
      </c>
    </row>
    <row r="13" spans="1:63" x14ac:dyDescent="0.3">
      <c r="B13" s="11">
        <v>25499</v>
      </c>
      <c r="C13" s="7">
        <v>52</v>
      </c>
      <c r="D13" s="7">
        <v>2</v>
      </c>
      <c r="E13" s="7">
        <v>1</v>
      </c>
      <c r="F13" s="20" t="s">
        <v>6</v>
      </c>
      <c r="G13" s="20" t="s">
        <v>12</v>
      </c>
      <c r="H13" s="20" t="s">
        <v>7</v>
      </c>
      <c r="I13" s="19" t="s">
        <v>16</v>
      </c>
      <c r="L13" s="28" t="s">
        <v>43</v>
      </c>
      <c r="M13" s="28">
        <v>19000</v>
      </c>
      <c r="N13" s="28" t="s">
        <v>43</v>
      </c>
      <c r="O13" s="28">
        <v>30</v>
      </c>
      <c r="P13" s="28" t="s">
        <v>43</v>
      </c>
      <c r="Q13" s="28">
        <v>1</v>
      </c>
      <c r="R13" s="28" t="s">
        <v>43</v>
      </c>
      <c r="S13" s="28">
        <v>1</v>
      </c>
      <c r="V13" s="11"/>
      <c r="AD13" s="7">
        <v>70</v>
      </c>
      <c r="AE13" s="11">
        <v>46498</v>
      </c>
      <c r="AO13" s="28" t="s">
        <v>63</v>
      </c>
      <c r="AP13" s="28">
        <v>53</v>
      </c>
      <c r="AQ13" s="28">
        <v>23794220762.130398</v>
      </c>
      <c r="AR13" s="28">
        <v>448947561.54963017</v>
      </c>
      <c r="AS13" s="28"/>
      <c r="AT13" s="28"/>
    </row>
    <row r="14" spans="1:63" ht="15" thickBot="1" x14ac:dyDescent="0.35">
      <c r="B14" s="11">
        <v>37000</v>
      </c>
      <c r="C14" s="7">
        <v>63</v>
      </c>
      <c r="D14" s="7">
        <v>2</v>
      </c>
      <c r="E14" s="7">
        <v>1</v>
      </c>
      <c r="F14" s="20" t="s">
        <v>18</v>
      </c>
      <c r="G14" s="20" t="s">
        <v>12</v>
      </c>
      <c r="H14" s="20" t="s">
        <v>14</v>
      </c>
      <c r="I14" s="19" t="s">
        <v>9</v>
      </c>
      <c r="L14" s="28" t="s">
        <v>44</v>
      </c>
      <c r="M14" s="28">
        <v>190000</v>
      </c>
      <c r="N14" s="28" t="s">
        <v>44</v>
      </c>
      <c r="O14" s="28">
        <v>200</v>
      </c>
      <c r="P14" s="28" t="s">
        <v>44</v>
      </c>
      <c r="Q14" s="28">
        <v>7</v>
      </c>
      <c r="R14" s="28" t="s">
        <v>44</v>
      </c>
      <c r="S14" s="28">
        <v>2</v>
      </c>
      <c r="V14" s="11"/>
      <c r="AD14" s="7">
        <v>52</v>
      </c>
      <c r="AE14" s="11">
        <v>25499</v>
      </c>
      <c r="AO14" s="29" t="s">
        <v>64</v>
      </c>
      <c r="AP14" s="29">
        <v>54</v>
      </c>
      <c r="AQ14" s="29">
        <v>58123432915.63636</v>
      </c>
      <c r="AR14" s="29"/>
      <c r="AS14" s="29"/>
      <c r="AT14" s="29"/>
    </row>
    <row r="15" spans="1:63" ht="15" thickBot="1" x14ac:dyDescent="0.35">
      <c r="B15" s="11">
        <v>25000</v>
      </c>
      <c r="C15" s="7">
        <v>30</v>
      </c>
      <c r="D15" s="7">
        <v>1</v>
      </c>
      <c r="E15" s="7">
        <v>1</v>
      </c>
      <c r="F15" s="20" t="s">
        <v>6</v>
      </c>
      <c r="G15" s="20" t="s">
        <v>12</v>
      </c>
      <c r="H15" s="20" t="s">
        <v>14</v>
      </c>
      <c r="I15" s="19" t="s">
        <v>8</v>
      </c>
      <c r="L15" s="28" t="s">
        <v>45</v>
      </c>
      <c r="M15" s="28">
        <v>2681495</v>
      </c>
      <c r="N15" s="28" t="s">
        <v>45</v>
      </c>
      <c r="O15" s="28">
        <v>3921</v>
      </c>
      <c r="P15" s="28" t="s">
        <v>45</v>
      </c>
      <c r="Q15" s="28">
        <v>139</v>
      </c>
      <c r="R15" s="28" t="s">
        <v>45</v>
      </c>
      <c r="S15" s="28">
        <v>58</v>
      </c>
      <c r="V15" s="11"/>
      <c r="AD15" s="7">
        <v>63</v>
      </c>
      <c r="AE15" s="11">
        <v>37000</v>
      </c>
    </row>
    <row r="16" spans="1:63" x14ac:dyDescent="0.3">
      <c r="B16" s="11">
        <v>55000</v>
      </c>
      <c r="C16" s="7">
        <v>64</v>
      </c>
      <c r="D16" s="7">
        <v>2</v>
      </c>
      <c r="E16" s="7">
        <v>1</v>
      </c>
      <c r="F16" s="20" t="s">
        <v>18</v>
      </c>
      <c r="G16" s="20" t="s">
        <v>12</v>
      </c>
      <c r="H16" s="20" t="s">
        <v>14</v>
      </c>
      <c r="I16" s="19" t="s">
        <v>8</v>
      </c>
      <c r="L16" s="28" t="s">
        <v>46</v>
      </c>
      <c r="M16" s="28">
        <v>55</v>
      </c>
      <c r="N16" s="28" t="s">
        <v>46</v>
      </c>
      <c r="O16" s="28">
        <v>55</v>
      </c>
      <c r="P16" s="28" t="s">
        <v>46</v>
      </c>
      <c r="Q16" s="28">
        <v>55</v>
      </c>
      <c r="R16" s="28" t="s">
        <v>46</v>
      </c>
      <c r="S16" s="28">
        <v>55</v>
      </c>
      <c r="V16" s="11"/>
      <c r="AD16" s="7">
        <v>30</v>
      </c>
      <c r="AE16" s="11">
        <v>25000</v>
      </c>
      <c r="AO16" s="30"/>
      <c r="AP16" s="30" t="s">
        <v>71</v>
      </c>
      <c r="AQ16" s="30" t="s">
        <v>38</v>
      </c>
      <c r="AR16" s="30" t="s">
        <v>72</v>
      </c>
      <c r="AS16" s="30" t="s">
        <v>73</v>
      </c>
      <c r="AT16" s="30" t="s">
        <v>74</v>
      </c>
      <c r="AU16" s="30" t="s">
        <v>75</v>
      </c>
      <c r="AV16" s="30" t="s">
        <v>76</v>
      </c>
      <c r="AW16" s="30" t="s">
        <v>77</v>
      </c>
    </row>
    <row r="17" spans="2:49" ht="15" thickBot="1" x14ac:dyDescent="0.35">
      <c r="B17" s="11">
        <v>33000</v>
      </c>
      <c r="C17" s="7">
        <v>60</v>
      </c>
      <c r="D17" s="7">
        <v>2</v>
      </c>
      <c r="E17" s="7">
        <v>1</v>
      </c>
      <c r="F17" s="20" t="s">
        <v>17</v>
      </c>
      <c r="G17" s="20" t="s">
        <v>12</v>
      </c>
      <c r="H17" s="20" t="s">
        <v>7</v>
      </c>
      <c r="I17" s="19" t="s">
        <v>8</v>
      </c>
      <c r="L17" s="29" t="s">
        <v>47</v>
      </c>
      <c r="M17" s="29">
        <v>7403.5491550593379</v>
      </c>
      <c r="N17" s="29" t="s">
        <v>47</v>
      </c>
      <c r="O17" s="29">
        <v>6.7073019560172105</v>
      </c>
      <c r="P17" s="29" t="s">
        <v>47</v>
      </c>
      <c r="Q17" s="29">
        <v>0.27070747615983481</v>
      </c>
      <c r="R17" s="29" t="s">
        <v>47</v>
      </c>
      <c r="S17" s="29">
        <v>5.171842493790145E-2</v>
      </c>
      <c r="V17" s="11"/>
      <c r="AD17" s="7">
        <v>64</v>
      </c>
      <c r="AE17" s="11">
        <v>55000</v>
      </c>
      <c r="AO17" s="28" t="s">
        <v>65</v>
      </c>
      <c r="AP17" s="33">
        <v>-11721.474462553051</v>
      </c>
      <c r="AQ17" s="28">
        <v>7482.8000847436479</v>
      </c>
      <c r="AR17" s="28">
        <v>-1.5664556489289951</v>
      </c>
      <c r="AS17" s="28">
        <v>0.12319378409293344</v>
      </c>
      <c r="AT17" s="28">
        <v>-26730.070766291836</v>
      </c>
      <c r="AU17" s="28">
        <v>3287.1218411857353</v>
      </c>
      <c r="AV17" s="28">
        <v>-24248.551580425719</v>
      </c>
      <c r="AW17" s="28">
        <v>805.60265531961704</v>
      </c>
    </row>
    <row r="18" spans="2:49" ht="15" thickBot="1" x14ac:dyDescent="0.35">
      <c r="B18" s="11">
        <v>81000</v>
      </c>
      <c r="C18" s="7">
        <v>150</v>
      </c>
      <c r="D18" s="7">
        <v>4</v>
      </c>
      <c r="E18" s="7">
        <v>2</v>
      </c>
      <c r="F18" s="20" t="s">
        <v>17</v>
      </c>
      <c r="G18" s="20" t="s">
        <v>11</v>
      </c>
      <c r="H18" s="20" t="s">
        <v>14</v>
      </c>
      <c r="I18" s="19" t="s">
        <v>8</v>
      </c>
      <c r="V18" s="11"/>
      <c r="AD18" s="7">
        <v>60</v>
      </c>
      <c r="AE18" s="11">
        <v>33000</v>
      </c>
      <c r="AO18" s="29" t="s">
        <v>48</v>
      </c>
      <c r="AP18" s="35">
        <v>848.29790753389887</v>
      </c>
      <c r="AQ18" s="29">
        <v>97.00950442003726</v>
      </c>
      <c r="AR18" s="29">
        <v>8.7444824360805971</v>
      </c>
      <c r="AS18" s="29">
        <v>7.3784783418827912E-12</v>
      </c>
      <c r="AT18" s="29">
        <v>653.72148253563796</v>
      </c>
      <c r="AU18" s="29">
        <v>1042.8743325321598</v>
      </c>
      <c r="AV18" s="29">
        <v>685.89272106979342</v>
      </c>
      <c r="AW18" s="29">
        <v>1010.7030939980043</v>
      </c>
    </row>
    <row r="19" spans="2:49" x14ac:dyDescent="0.3">
      <c r="B19" s="11">
        <v>46000</v>
      </c>
      <c r="C19" s="7">
        <v>92</v>
      </c>
      <c r="D19" s="7">
        <v>4</v>
      </c>
      <c r="E19" s="7">
        <v>1</v>
      </c>
      <c r="F19" s="20" t="s">
        <v>17</v>
      </c>
      <c r="G19" s="20" t="s">
        <v>12</v>
      </c>
      <c r="H19" s="20" t="s">
        <v>14</v>
      </c>
      <c r="I19" s="19" t="s">
        <v>8</v>
      </c>
      <c r="L19" s="20"/>
      <c r="M19" s="20"/>
      <c r="V19" s="11"/>
      <c r="AD19" s="7">
        <v>150</v>
      </c>
      <c r="AE19" s="11">
        <v>81000</v>
      </c>
    </row>
    <row r="20" spans="2:49" x14ac:dyDescent="0.3">
      <c r="B20" s="11">
        <v>52000</v>
      </c>
      <c r="C20" s="7">
        <v>42</v>
      </c>
      <c r="D20" s="7">
        <v>1</v>
      </c>
      <c r="E20" s="7">
        <v>1</v>
      </c>
      <c r="F20" s="20" t="s">
        <v>18</v>
      </c>
      <c r="G20" s="20" t="s">
        <v>11</v>
      </c>
      <c r="H20" s="20" t="s">
        <v>14</v>
      </c>
      <c r="I20" s="19" t="s">
        <v>9</v>
      </c>
      <c r="V20" s="11"/>
      <c r="AD20" s="7">
        <v>92</v>
      </c>
      <c r="AE20" s="11">
        <v>46000</v>
      </c>
    </row>
    <row r="21" spans="2:49" ht="15" thickBot="1" x14ac:dyDescent="0.35">
      <c r="B21" s="11">
        <v>76000</v>
      </c>
      <c r="C21" s="7">
        <v>75</v>
      </c>
      <c r="D21" s="7">
        <v>3</v>
      </c>
      <c r="E21" s="7">
        <v>1</v>
      </c>
      <c r="F21" s="20" t="s">
        <v>18</v>
      </c>
      <c r="G21" s="20" t="s">
        <v>11</v>
      </c>
      <c r="H21" s="20" t="s">
        <v>14</v>
      </c>
      <c r="I21" s="19" t="s">
        <v>16</v>
      </c>
      <c r="V21" s="11"/>
      <c r="AD21" s="7">
        <v>42</v>
      </c>
      <c r="AE21" s="11">
        <v>52000</v>
      </c>
    </row>
    <row r="22" spans="2:49" x14ac:dyDescent="0.3">
      <c r="B22" s="11">
        <v>31500</v>
      </c>
      <c r="C22" s="7">
        <v>70</v>
      </c>
      <c r="D22" s="7">
        <v>3</v>
      </c>
      <c r="E22" s="7">
        <v>1</v>
      </c>
      <c r="F22" s="20" t="s">
        <v>6</v>
      </c>
      <c r="G22" s="20" t="s">
        <v>11</v>
      </c>
      <c r="H22" s="20" t="s">
        <v>7</v>
      </c>
      <c r="I22" s="19" t="s">
        <v>16</v>
      </c>
      <c r="L22" s="30" t="s">
        <v>50</v>
      </c>
      <c r="M22" s="30" t="s">
        <v>49</v>
      </c>
      <c r="V22" s="11"/>
      <c r="AD22" s="7">
        <v>75</v>
      </c>
      <c r="AE22" s="11">
        <v>76000</v>
      </c>
    </row>
    <row r="23" spans="2:49" x14ac:dyDescent="0.3">
      <c r="B23" s="11">
        <v>65000</v>
      </c>
      <c r="C23" s="7">
        <v>70</v>
      </c>
      <c r="D23" s="7">
        <v>3</v>
      </c>
      <c r="E23" s="7">
        <v>1</v>
      </c>
      <c r="F23" s="20" t="s">
        <v>6</v>
      </c>
      <c r="G23" s="20" t="s">
        <v>11</v>
      </c>
      <c r="H23" s="20" t="s">
        <v>14</v>
      </c>
      <c r="I23" s="19" t="s">
        <v>8</v>
      </c>
      <c r="L23" s="32">
        <v>0</v>
      </c>
      <c r="M23" s="28">
        <v>0</v>
      </c>
      <c r="V23" s="11"/>
      <c r="AD23" s="7">
        <v>70</v>
      </c>
      <c r="AE23" s="11">
        <v>31500</v>
      </c>
      <c r="AO23" t="s">
        <v>78</v>
      </c>
      <c r="AP23" s="34">
        <f>AP17</f>
        <v>-11721.474462553051</v>
      </c>
    </row>
    <row r="24" spans="2:49" x14ac:dyDescent="0.3">
      <c r="B24" s="11">
        <v>45000</v>
      </c>
      <c r="C24" s="7">
        <v>40</v>
      </c>
      <c r="D24" s="7">
        <v>1</v>
      </c>
      <c r="E24" s="7">
        <v>1</v>
      </c>
      <c r="F24" s="20" t="s">
        <v>18</v>
      </c>
      <c r="G24" s="20" t="s">
        <v>12</v>
      </c>
      <c r="H24" s="20" t="s">
        <v>14</v>
      </c>
      <c r="I24" s="19" t="s">
        <v>9</v>
      </c>
      <c r="L24" s="32">
        <v>10000</v>
      </c>
      <c r="M24" s="28">
        <v>0</v>
      </c>
      <c r="V24" s="11"/>
      <c r="AD24" s="7">
        <v>70</v>
      </c>
      <c r="AE24" s="11">
        <v>65000</v>
      </c>
      <c r="AO24" t="s">
        <v>79</v>
      </c>
      <c r="AP24" s="36">
        <f>AP18</f>
        <v>848.29790753389887</v>
      </c>
    </row>
    <row r="25" spans="2:49" x14ac:dyDescent="0.3">
      <c r="B25" s="11">
        <v>46000</v>
      </c>
      <c r="C25" s="7">
        <v>78</v>
      </c>
      <c r="D25" s="7">
        <v>3</v>
      </c>
      <c r="E25" s="7">
        <v>1</v>
      </c>
      <c r="F25" s="20" t="s">
        <v>17</v>
      </c>
      <c r="G25" s="20" t="s">
        <v>12</v>
      </c>
      <c r="H25" s="20" t="s">
        <v>14</v>
      </c>
      <c r="I25" s="19" t="s">
        <v>8</v>
      </c>
      <c r="L25" s="32">
        <v>20000</v>
      </c>
      <c r="M25" s="28">
        <v>2</v>
      </c>
      <c r="V25" s="11"/>
      <c r="AD25" s="7">
        <v>40</v>
      </c>
      <c r="AE25" s="11">
        <v>45000</v>
      </c>
    </row>
    <row r="26" spans="2:49" x14ac:dyDescent="0.3">
      <c r="B26" s="11">
        <v>60000</v>
      </c>
      <c r="C26" s="7">
        <v>80</v>
      </c>
      <c r="D26" s="7">
        <v>3</v>
      </c>
      <c r="E26" s="7">
        <v>1</v>
      </c>
      <c r="F26" s="20" t="s">
        <v>18</v>
      </c>
      <c r="G26" s="20" t="s">
        <v>11</v>
      </c>
      <c r="H26" s="20" t="s">
        <v>7</v>
      </c>
      <c r="I26" s="19" t="s">
        <v>8</v>
      </c>
      <c r="L26" s="32">
        <v>30000</v>
      </c>
      <c r="M26" s="28">
        <v>14</v>
      </c>
      <c r="V26" s="11"/>
      <c r="AD26" s="7">
        <v>78</v>
      </c>
      <c r="AE26" s="11">
        <v>46000</v>
      </c>
    </row>
    <row r="27" spans="2:49" x14ac:dyDescent="0.3">
      <c r="B27" s="11">
        <v>62000</v>
      </c>
      <c r="C27" s="7">
        <v>100</v>
      </c>
      <c r="D27" s="7">
        <v>4</v>
      </c>
      <c r="E27" s="7">
        <v>1</v>
      </c>
      <c r="F27" s="20" t="s">
        <v>17</v>
      </c>
      <c r="G27" s="20" t="s">
        <v>11</v>
      </c>
      <c r="H27" s="20" t="s">
        <v>7</v>
      </c>
      <c r="I27" s="19" t="s">
        <v>16</v>
      </c>
      <c r="L27" s="32">
        <v>40000</v>
      </c>
      <c r="M27" s="28">
        <v>11</v>
      </c>
      <c r="V27" s="11"/>
      <c r="AD27" s="7">
        <v>80</v>
      </c>
      <c r="AE27" s="11">
        <v>60000</v>
      </c>
    </row>
    <row r="28" spans="2:49" x14ac:dyDescent="0.3">
      <c r="B28" s="11">
        <v>190000</v>
      </c>
      <c r="C28" s="7">
        <v>200</v>
      </c>
      <c r="D28" s="7">
        <v>7</v>
      </c>
      <c r="E28" s="7">
        <v>2</v>
      </c>
      <c r="F28" s="20" t="s">
        <v>17</v>
      </c>
      <c r="G28" s="20" t="s">
        <v>12</v>
      </c>
      <c r="H28" s="20" t="s">
        <v>14</v>
      </c>
      <c r="I28" s="19" t="s">
        <v>8</v>
      </c>
      <c r="L28" s="32">
        <v>50000</v>
      </c>
      <c r="M28" s="28">
        <v>11</v>
      </c>
      <c r="V28" s="11"/>
      <c r="AD28" s="7">
        <v>100</v>
      </c>
      <c r="AE28" s="11">
        <v>62000</v>
      </c>
    </row>
    <row r="29" spans="2:49" x14ac:dyDescent="0.3">
      <c r="B29" s="11">
        <v>52700</v>
      </c>
      <c r="C29" s="7">
        <v>80</v>
      </c>
      <c r="D29" s="7">
        <v>3</v>
      </c>
      <c r="E29" s="7">
        <v>1</v>
      </c>
      <c r="F29" s="20" t="s">
        <v>6</v>
      </c>
      <c r="G29" s="20" t="s">
        <v>11</v>
      </c>
      <c r="H29" s="20" t="s">
        <v>7</v>
      </c>
      <c r="I29" s="19" t="s">
        <v>16</v>
      </c>
      <c r="L29" s="32">
        <v>60000</v>
      </c>
      <c r="M29" s="28">
        <v>6</v>
      </c>
      <c r="V29" s="11"/>
      <c r="AD29" s="7">
        <v>200</v>
      </c>
      <c r="AE29" s="11">
        <v>190000</v>
      </c>
    </row>
    <row r="30" spans="2:49" x14ac:dyDescent="0.3">
      <c r="B30" s="11">
        <v>55000</v>
      </c>
      <c r="C30" s="7">
        <v>80</v>
      </c>
      <c r="D30" s="7">
        <v>2</v>
      </c>
      <c r="E30" s="7">
        <v>1</v>
      </c>
      <c r="F30" s="20" t="s">
        <v>18</v>
      </c>
      <c r="G30" s="20" t="s">
        <v>11</v>
      </c>
      <c r="H30" s="20" t="s">
        <v>14</v>
      </c>
      <c r="I30" s="19" t="s">
        <v>16</v>
      </c>
      <c r="L30" s="32">
        <v>70000</v>
      </c>
      <c r="M30" s="28">
        <v>3</v>
      </c>
      <c r="V30" s="11"/>
      <c r="AD30" s="7">
        <v>80</v>
      </c>
      <c r="AE30" s="11">
        <v>52700</v>
      </c>
    </row>
    <row r="31" spans="2:49" x14ac:dyDescent="0.3">
      <c r="B31" s="11">
        <v>20500</v>
      </c>
      <c r="C31" s="7">
        <v>37</v>
      </c>
      <c r="D31" s="7">
        <v>1</v>
      </c>
      <c r="E31" s="7">
        <v>1</v>
      </c>
      <c r="F31" s="20" t="s">
        <v>17</v>
      </c>
      <c r="G31" s="20" t="s">
        <v>12</v>
      </c>
      <c r="H31" s="20" t="s">
        <v>15</v>
      </c>
      <c r="I31" s="19" t="s">
        <v>16</v>
      </c>
      <c r="L31" s="32">
        <v>80000</v>
      </c>
      <c r="M31" s="28">
        <v>2</v>
      </c>
      <c r="V31" s="11"/>
      <c r="AD31" s="7">
        <v>80</v>
      </c>
      <c r="AE31" s="11">
        <v>55000</v>
      </c>
    </row>
    <row r="32" spans="2:49" x14ac:dyDescent="0.3">
      <c r="B32" s="11">
        <v>40500</v>
      </c>
      <c r="C32" s="7">
        <v>82</v>
      </c>
      <c r="D32" s="7">
        <v>4</v>
      </c>
      <c r="E32" s="7">
        <v>1</v>
      </c>
      <c r="F32" s="20" t="s">
        <v>6</v>
      </c>
      <c r="G32" s="20" t="s">
        <v>11</v>
      </c>
      <c r="H32" s="20" t="s">
        <v>7</v>
      </c>
      <c r="I32" s="19" t="s">
        <v>9</v>
      </c>
      <c r="L32" s="32">
        <v>90000</v>
      </c>
      <c r="M32" s="28">
        <v>2</v>
      </c>
      <c r="V32" s="11"/>
      <c r="AD32" s="7">
        <v>37</v>
      </c>
      <c r="AE32" s="11">
        <v>20500</v>
      </c>
    </row>
    <row r="33" spans="2:31" x14ac:dyDescent="0.3">
      <c r="B33" s="11">
        <v>58000</v>
      </c>
      <c r="C33" s="7">
        <v>70</v>
      </c>
      <c r="D33" s="7">
        <v>3</v>
      </c>
      <c r="E33" s="7">
        <v>1</v>
      </c>
      <c r="F33" s="20" t="s">
        <v>17</v>
      </c>
      <c r="G33" s="20" t="s">
        <v>11</v>
      </c>
      <c r="H33" s="20" t="s">
        <v>14</v>
      </c>
      <c r="I33" s="19" t="s">
        <v>16</v>
      </c>
      <c r="L33" s="32">
        <v>100000</v>
      </c>
      <c r="M33" s="28">
        <v>1</v>
      </c>
      <c r="V33" s="11"/>
      <c r="AD33" s="7">
        <v>82</v>
      </c>
      <c r="AE33" s="11">
        <v>40500</v>
      </c>
    </row>
    <row r="34" spans="2:31" x14ac:dyDescent="0.3">
      <c r="B34" s="11">
        <v>33000</v>
      </c>
      <c r="C34" s="7">
        <v>76</v>
      </c>
      <c r="D34" s="7">
        <v>2</v>
      </c>
      <c r="E34" s="7">
        <v>1</v>
      </c>
      <c r="F34" s="20" t="s">
        <v>13</v>
      </c>
      <c r="G34" s="20" t="s">
        <v>12</v>
      </c>
      <c r="H34" s="20" t="s">
        <v>7</v>
      </c>
      <c r="I34" s="19" t="s">
        <v>8</v>
      </c>
      <c r="L34" s="32">
        <v>110000</v>
      </c>
      <c r="M34" s="28">
        <v>1</v>
      </c>
      <c r="V34" s="11"/>
      <c r="AD34" s="7">
        <v>70</v>
      </c>
      <c r="AE34" s="11">
        <v>58000</v>
      </c>
    </row>
    <row r="35" spans="2:31" x14ac:dyDescent="0.3">
      <c r="B35" s="11">
        <v>87000</v>
      </c>
      <c r="C35" s="7">
        <v>100</v>
      </c>
      <c r="D35" s="7">
        <v>3</v>
      </c>
      <c r="E35" s="7">
        <v>1</v>
      </c>
      <c r="F35" s="20" t="s">
        <v>18</v>
      </c>
      <c r="G35" s="20" t="s">
        <v>11</v>
      </c>
      <c r="H35" s="20" t="s">
        <v>14</v>
      </c>
      <c r="I35" s="19" t="s">
        <v>16</v>
      </c>
      <c r="L35" s="32">
        <v>120000</v>
      </c>
      <c r="M35" s="28">
        <v>0</v>
      </c>
      <c r="V35" s="11"/>
      <c r="AD35" s="7">
        <v>76</v>
      </c>
      <c r="AE35" s="11">
        <v>33000</v>
      </c>
    </row>
    <row r="36" spans="2:31" x14ac:dyDescent="0.3">
      <c r="B36" s="11">
        <v>19000</v>
      </c>
      <c r="C36" s="7">
        <v>43</v>
      </c>
      <c r="D36" s="7">
        <v>1</v>
      </c>
      <c r="E36" s="7">
        <v>1</v>
      </c>
      <c r="F36" s="20" t="s">
        <v>13</v>
      </c>
      <c r="G36" s="20" t="s">
        <v>12</v>
      </c>
      <c r="H36" s="20" t="s">
        <v>15</v>
      </c>
      <c r="I36" s="19" t="s">
        <v>8</v>
      </c>
      <c r="L36" s="32">
        <v>130000</v>
      </c>
      <c r="M36" s="28">
        <v>0</v>
      </c>
      <c r="V36" s="11"/>
      <c r="AD36" s="7">
        <v>100</v>
      </c>
      <c r="AE36" s="11">
        <v>87000</v>
      </c>
    </row>
    <row r="37" spans="2:31" x14ac:dyDescent="0.3">
      <c r="B37" s="11">
        <v>28000</v>
      </c>
      <c r="C37" s="7">
        <v>50</v>
      </c>
      <c r="D37" s="7">
        <v>2</v>
      </c>
      <c r="E37" s="7">
        <v>1</v>
      </c>
      <c r="F37" s="20" t="s">
        <v>6</v>
      </c>
      <c r="G37" s="20" t="s">
        <v>12</v>
      </c>
      <c r="H37" s="20" t="s">
        <v>7</v>
      </c>
      <c r="I37" s="19" t="s">
        <v>8</v>
      </c>
      <c r="L37" s="32">
        <v>140000</v>
      </c>
      <c r="M37" s="28">
        <v>0</v>
      </c>
      <c r="V37" s="11"/>
      <c r="AD37" s="7">
        <v>43</v>
      </c>
      <c r="AE37" s="11">
        <v>19000</v>
      </c>
    </row>
    <row r="38" spans="2:31" x14ac:dyDescent="0.3">
      <c r="B38" s="11">
        <v>46000</v>
      </c>
      <c r="C38" s="7">
        <v>93</v>
      </c>
      <c r="D38" s="7">
        <v>4</v>
      </c>
      <c r="E38" s="7">
        <v>1</v>
      </c>
      <c r="F38" s="20" t="s">
        <v>17</v>
      </c>
      <c r="G38" s="20" t="s">
        <v>12</v>
      </c>
      <c r="H38" s="20" t="s">
        <v>7</v>
      </c>
      <c r="I38" s="19" t="s">
        <v>8</v>
      </c>
      <c r="L38" s="32">
        <v>150000</v>
      </c>
      <c r="M38" s="28">
        <v>0</v>
      </c>
      <c r="V38" s="11"/>
      <c r="AD38" s="7">
        <v>50</v>
      </c>
      <c r="AE38" s="11">
        <v>28000</v>
      </c>
    </row>
    <row r="39" spans="2:31" x14ac:dyDescent="0.3">
      <c r="B39" s="11">
        <v>38000</v>
      </c>
      <c r="C39" s="7">
        <v>84</v>
      </c>
      <c r="D39" s="7">
        <v>3</v>
      </c>
      <c r="E39" s="7">
        <v>1</v>
      </c>
      <c r="F39" s="20" t="s">
        <v>13</v>
      </c>
      <c r="G39" s="20" t="s">
        <v>12</v>
      </c>
      <c r="H39" s="20" t="s">
        <v>15</v>
      </c>
      <c r="I39" s="19" t="s">
        <v>8</v>
      </c>
      <c r="L39" s="32">
        <v>160000</v>
      </c>
      <c r="M39" s="28">
        <v>0</v>
      </c>
      <c r="V39" s="11"/>
      <c r="AD39" s="7">
        <v>93</v>
      </c>
      <c r="AE39" s="11">
        <v>46000</v>
      </c>
    </row>
    <row r="40" spans="2:31" x14ac:dyDescent="0.3">
      <c r="B40" s="11">
        <v>33000</v>
      </c>
      <c r="C40" s="7">
        <v>60</v>
      </c>
      <c r="D40" s="7">
        <v>2</v>
      </c>
      <c r="E40" s="7">
        <v>1</v>
      </c>
      <c r="F40" s="20" t="s">
        <v>17</v>
      </c>
      <c r="G40" s="20" t="s">
        <v>12</v>
      </c>
      <c r="H40" s="20" t="s">
        <v>7</v>
      </c>
      <c r="I40" s="19" t="s">
        <v>8</v>
      </c>
      <c r="L40" s="32">
        <v>170000</v>
      </c>
      <c r="M40" s="28">
        <v>0</v>
      </c>
      <c r="V40" s="11"/>
      <c r="AD40" s="7">
        <v>84</v>
      </c>
      <c r="AE40" s="11">
        <v>38000</v>
      </c>
    </row>
    <row r="41" spans="2:31" x14ac:dyDescent="0.3">
      <c r="B41" s="11">
        <v>64000</v>
      </c>
      <c r="C41" s="7">
        <v>82</v>
      </c>
      <c r="D41" s="7">
        <v>2</v>
      </c>
      <c r="E41" s="7">
        <v>1</v>
      </c>
      <c r="F41" s="20" t="s">
        <v>18</v>
      </c>
      <c r="G41" s="20" t="s">
        <v>11</v>
      </c>
      <c r="H41" s="20" t="s">
        <v>15</v>
      </c>
      <c r="I41" s="19" t="s">
        <v>8</v>
      </c>
      <c r="L41" s="32">
        <v>180000</v>
      </c>
      <c r="M41" s="28">
        <v>1</v>
      </c>
      <c r="V41" s="11"/>
      <c r="AD41" s="7">
        <v>60</v>
      </c>
      <c r="AE41" s="11">
        <v>33000</v>
      </c>
    </row>
    <row r="42" spans="2:31" x14ac:dyDescent="0.3">
      <c r="B42" s="11">
        <v>26700</v>
      </c>
      <c r="C42" s="7">
        <v>50</v>
      </c>
      <c r="D42" s="7">
        <v>2</v>
      </c>
      <c r="E42" s="7">
        <v>1</v>
      </c>
      <c r="F42" s="20" t="s">
        <v>6</v>
      </c>
      <c r="G42" s="20" t="s">
        <v>12</v>
      </c>
      <c r="H42" s="20" t="s">
        <v>15</v>
      </c>
      <c r="I42" s="19" t="s">
        <v>9</v>
      </c>
      <c r="L42" s="32">
        <v>190000</v>
      </c>
      <c r="M42" s="28">
        <v>1</v>
      </c>
      <c r="V42" s="11"/>
      <c r="AD42" s="7">
        <v>82</v>
      </c>
      <c r="AE42" s="11">
        <v>64000</v>
      </c>
    </row>
    <row r="43" spans="2:31" ht="15" thickBot="1" x14ac:dyDescent="0.35">
      <c r="B43" s="11">
        <v>92000</v>
      </c>
      <c r="C43" s="7">
        <v>100</v>
      </c>
      <c r="D43" s="7">
        <v>4</v>
      </c>
      <c r="E43" s="7">
        <v>1</v>
      </c>
      <c r="F43" s="20" t="s">
        <v>18</v>
      </c>
      <c r="G43" s="20" t="s">
        <v>12</v>
      </c>
      <c r="H43" s="20" t="s">
        <v>7</v>
      </c>
      <c r="I43" s="19" t="s">
        <v>9</v>
      </c>
      <c r="L43" s="29" t="s">
        <v>51</v>
      </c>
      <c r="M43" s="29">
        <v>0</v>
      </c>
      <c r="V43" s="11"/>
      <c r="AD43" s="7">
        <v>50</v>
      </c>
      <c r="AE43" s="11">
        <v>26700</v>
      </c>
    </row>
    <row r="44" spans="2:31" x14ac:dyDescent="0.3">
      <c r="B44" s="11">
        <v>36000</v>
      </c>
      <c r="C44" s="7">
        <v>57</v>
      </c>
      <c r="D44" s="7">
        <v>2</v>
      </c>
      <c r="E44" s="7">
        <v>1</v>
      </c>
      <c r="F44" s="20" t="s">
        <v>17</v>
      </c>
      <c r="G44" s="20" t="s">
        <v>12</v>
      </c>
      <c r="H44" s="20" t="s">
        <v>7</v>
      </c>
      <c r="I44" s="19" t="s">
        <v>9</v>
      </c>
      <c r="V44" s="11"/>
      <c r="AD44" s="7">
        <v>100</v>
      </c>
      <c r="AE44" s="11">
        <v>92000</v>
      </c>
    </row>
    <row r="45" spans="2:31" ht="15" thickBot="1" x14ac:dyDescent="0.35">
      <c r="B45" s="11">
        <v>103000</v>
      </c>
      <c r="C45" s="7">
        <v>100</v>
      </c>
      <c r="D45" s="7">
        <v>3</v>
      </c>
      <c r="E45" s="7">
        <v>1</v>
      </c>
      <c r="F45" s="20" t="s">
        <v>18</v>
      </c>
      <c r="G45" s="20" t="s">
        <v>12</v>
      </c>
      <c r="H45" s="20" t="s">
        <v>7</v>
      </c>
      <c r="I45" s="19" t="s">
        <v>8</v>
      </c>
      <c r="V45" s="11"/>
      <c r="AD45" s="7">
        <v>57</v>
      </c>
      <c r="AE45" s="11">
        <v>36000</v>
      </c>
    </row>
    <row r="46" spans="2:31" x14ac:dyDescent="0.3">
      <c r="B46" s="11">
        <v>38900</v>
      </c>
      <c r="C46" s="7">
        <v>95</v>
      </c>
      <c r="D46" s="7">
        <v>4</v>
      </c>
      <c r="E46" s="7">
        <v>1</v>
      </c>
      <c r="F46" s="20" t="s">
        <v>13</v>
      </c>
      <c r="G46" s="20" t="s">
        <v>12</v>
      </c>
      <c r="H46" s="20" t="s">
        <v>7</v>
      </c>
      <c r="I46" s="19" t="s">
        <v>16</v>
      </c>
      <c r="L46" s="30" t="s">
        <v>50</v>
      </c>
      <c r="M46" s="30" t="s">
        <v>49</v>
      </c>
      <c r="V46" s="11"/>
      <c r="AD46" s="7">
        <v>100</v>
      </c>
      <c r="AE46" s="11">
        <v>103000</v>
      </c>
    </row>
    <row r="47" spans="2:31" x14ac:dyDescent="0.3">
      <c r="B47" s="11">
        <v>46500</v>
      </c>
      <c r="C47" s="7">
        <v>103</v>
      </c>
      <c r="D47" s="7">
        <v>4</v>
      </c>
      <c r="E47" s="7">
        <v>1</v>
      </c>
      <c r="F47" s="20" t="s">
        <v>13</v>
      </c>
      <c r="G47" s="20" t="s">
        <v>12</v>
      </c>
      <c r="H47" s="20" t="s">
        <v>14</v>
      </c>
      <c r="I47" s="19" t="s">
        <v>8</v>
      </c>
      <c r="L47" s="32">
        <v>30</v>
      </c>
      <c r="M47" s="28">
        <v>1</v>
      </c>
      <c r="V47" s="11"/>
      <c r="AD47" s="7">
        <v>95</v>
      </c>
      <c r="AE47" s="11">
        <v>38900</v>
      </c>
    </row>
    <row r="48" spans="2:31" x14ac:dyDescent="0.3">
      <c r="B48" s="11">
        <v>25500</v>
      </c>
      <c r="C48" s="7">
        <v>52</v>
      </c>
      <c r="D48" s="7">
        <v>2</v>
      </c>
      <c r="E48" s="7">
        <v>1</v>
      </c>
      <c r="F48" s="20" t="s">
        <v>13</v>
      </c>
      <c r="G48" s="20" t="s">
        <v>12</v>
      </c>
      <c r="H48" s="20" t="s">
        <v>15</v>
      </c>
      <c r="I48" s="19" t="s">
        <v>8</v>
      </c>
      <c r="L48" s="32">
        <v>40</v>
      </c>
      <c r="M48" s="28">
        <v>6</v>
      </c>
      <c r="V48" s="11"/>
      <c r="AD48" s="7">
        <v>103</v>
      </c>
      <c r="AE48" s="11">
        <v>46500</v>
      </c>
    </row>
    <row r="49" spans="2:31" x14ac:dyDescent="0.3">
      <c r="B49" s="11">
        <v>25700</v>
      </c>
      <c r="C49" s="6">
        <v>60</v>
      </c>
      <c r="D49" s="6">
        <v>2</v>
      </c>
      <c r="E49" s="6">
        <v>1</v>
      </c>
      <c r="F49" s="18" t="s">
        <v>13</v>
      </c>
      <c r="G49" s="18" t="s">
        <v>11</v>
      </c>
      <c r="H49" s="18" t="s">
        <v>7</v>
      </c>
      <c r="I49" s="19" t="s">
        <v>8</v>
      </c>
      <c r="L49" s="32">
        <v>50</v>
      </c>
      <c r="M49" s="28">
        <v>6</v>
      </c>
      <c r="V49" s="12"/>
      <c r="AD49" s="7">
        <v>52</v>
      </c>
      <c r="AE49" s="11">
        <v>25500</v>
      </c>
    </row>
    <row r="50" spans="2:31" x14ac:dyDescent="0.3">
      <c r="B50" s="12">
        <v>76000</v>
      </c>
      <c r="C50" s="7">
        <v>115</v>
      </c>
      <c r="D50" s="7">
        <v>5</v>
      </c>
      <c r="E50" s="7">
        <v>2</v>
      </c>
      <c r="F50" s="20" t="s">
        <v>13</v>
      </c>
      <c r="G50" s="20" t="s">
        <v>12</v>
      </c>
      <c r="H50" s="20" t="s">
        <v>14</v>
      </c>
      <c r="I50" s="21" t="s">
        <v>8</v>
      </c>
      <c r="L50" s="32">
        <v>60</v>
      </c>
      <c r="M50" s="28">
        <v>10</v>
      </c>
      <c r="V50" s="12"/>
      <c r="AD50" s="6">
        <v>60</v>
      </c>
      <c r="AE50" s="11">
        <v>25700</v>
      </c>
    </row>
    <row r="51" spans="2:31" x14ac:dyDescent="0.3">
      <c r="B51" s="12">
        <v>41500</v>
      </c>
      <c r="C51" s="7">
        <v>77</v>
      </c>
      <c r="D51" s="7">
        <v>3</v>
      </c>
      <c r="E51" s="7">
        <v>1</v>
      </c>
      <c r="F51" s="20" t="s">
        <v>13</v>
      </c>
      <c r="G51" s="20" t="s">
        <v>12</v>
      </c>
      <c r="H51" s="20" t="s">
        <v>7</v>
      </c>
      <c r="I51" s="21" t="s">
        <v>8</v>
      </c>
      <c r="L51" s="32">
        <v>70</v>
      </c>
      <c r="M51" s="28">
        <v>9</v>
      </c>
      <c r="V51" s="12"/>
      <c r="AD51" s="7">
        <v>115</v>
      </c>
      <c r="AE51" s="12">
        <v>76000</v>
      </c>
    </row>
    <row r="52" spans="2:31" x14ac:dyDescent="0.3">
      <c r="B52" s="12">
        <v>33000</v>
      </c>
      <c r="C52" s="7">
        <v>70</v>
      </c>
      <c r="D52" s="7">
        <v>3</v>
      </c>
      <c r="E52" s="7">
        <v>1</v>
      </c>
      <c r="F52" s="20" t="s">
        <v>13</v>
      </c>
      <c r="G52" s="20" t="s">
        <v>11</v>
      </c>
      <c r="H52" s="20" t="s">
        <v>7</v>
      </c>
      <c r="I52" s="21" t="s">
        <v>8</v>
      </c>
      <c r="L52" s="32">
        <v>80</v>
      </c>
      <c r="M52" s="28">
        <v>7</v>
      </c>
      <c r="V52" s="12"/>
      <c r="AD52" s="7">
        <v>77</v>
      </c>
      <c r="AE52" s="12">
        <v>41500</v>
      </c>
    </row>
    <row r="53" spans="2:31" x14ac:dyDescent="0.3">
      <c r="B53" s="12">
        <v>178000</v>
      </c>
      <c r="C53" s="7">
        <v>100</v>
      </c>
      <c r="D53" s="7">
        <v>2</v>
      </c>
      <c r="E53" s="7">
        <v>1</v>
      </c>
      <c r="F53" s="20" t="s">
        <v>18</v>
      </c>
      <c r="G53" s="20" t="s">
        <v>12</v>
      </c>
      <c r="H53" s="20" t="s">
        <v>14</v>
      </c>
      <c r="I53" s="21" t="s">
        <v>8</v>
      </c>
      <c r="L53" s="32">
        <v>90</v>
      </c>
      <c r="M53" s="28">
        <v>4</v>
      </c>
      <c r="V53" s="12"/>
      <c r="AD53" s="7">
        <v>70</v>
      </c>
      <c r="AE53" s="12">
        <v>33000</v>
      </c>
    </row>
    <row r="54" spans="2:31" x14ac:dyDescent="0.3">
      <c r="B54" s="12">
        <v>40000</v>
      </c>
      <c r="C54" s="7">
        <v>63</v>
      </c>
      <c r="D54" s="7">
        <v>2</v>
      </c>
      <c r="E54" s="7">
        <v>1</v>
      </c>
      <c r="F54" s="20" t="s">
        <v>18</v>
      </c>
      <c r="G54" s="20" t="s">
        <v>12</v>
      </c>
      <c r="H54" s="20" t="s">
        <v>15</v>
      </c>
      <c r="I54" s="21" t="s">
        <v>8</v>
      </c>
      <c r="L54" s="32">
        <v>100</v>
      </c>
      <c r="M54" s="28">
        <v>8</v>
      </c>
      <c r="V54" s="12"/>
      <c r="AD54" s="7">
        <v>100</v>
      </c>
      <c r="AE54" s="12">
        <v>178000</v>
      </c>
    </row>
    <row r="55" spans="2:31" x14ac:dyDescent="0.3">
      <c r="B55" s="12">
        <v>43100</v>
      </c>
      <c r="C55" s="7">
        <v>38</v>
      </c>
      <c r="D55" s="7">
        <v>1</v>
      </c>
      <c r="E55" s="7">
        <v>1</v>
      </c>
      <c r="F55" s="20" t="s">
        <v>18</v>
      </c>
      <c r="G55" s="20" t="s">
        <v>11</v>
      </c>
      <c r="H55" s="20" t="s">
        <v>7</v>
      </c>
      <c r="I55" s="21" t="s">
        <v>8</v>
      </c>
      <c r="L55" s="32">
        <v>110</v>
      </c>
      <c r="M55" s="28">
        <v>1</v>
      </c>
      <c r="AD55" s="7">
        <v>63</v>
      </c>
      <c r="AE55" s="12">
        <v>40000</v>
      </c>
    </row>
    <row r="56" spans="2:31" x14ac:dyDescent="0.3">
      <c r="B56" s="13">
        <v>22900</v>
      </c>
      <c r="C56" s="8">
        <v>59</v>
      </c>
      <c r="D56" s="8">
        <v>1</v>
      </c>
      <c r="E56" s="8">
        <v>1</v>
      </c>
      <c r="F56" s="22" t="s">
        <v>17</v>
      </c>
      <c r="G56" s="22" t="s">
        <v>12</v>
      </c>
      <c r="H56" s="22" t="s">
        <v>7</v>
      </c>
      <c r="I56" s="23" t="s">
        <v>8</v>
      </c>
      <c r="L56" s="32">
        <v>120</v>
      </c>
      <c r="M56" s="28">
        <v>1</v>
      </c>
      <c r="AD56" s="7">
        <v>38</v>
      </c>
      <c r="AE56" s="12">
        <v>43100</v>
      </c>
    </row>
    <row r="57" spans="2:31" x14ac:dyDescent="0.3">
      <c r="L57" s="32">
        <v>130</v>
      </c>
      <c r="M57" s="28">
        <v>0</v>
      </c>
      <c r="AD57" s="8">
        <v>59</v>
      </c>
      <c r="AE57" s="13">
        <v>22900</v>
      </c>
    </row>
    <row r="58" spans="2:31" x14ac:dyDescent="0.3">
      <c r="L58" s="32">
        <v>140</v>
      </c>
      <c r="M58" s="28">
        <v>0</v>
      </c>
    </row>
    <row r="59" spans="2:31" x14ac:dyDescent="0.3">
      <c r="L59" s="32">
        <v>150</v>
      </c>
      <c r="M59" s="28">
        <v>1</v>
      </c>
    </row>
    <row r="60" spans="2:31" x14ac:dyDescent="0.3">
      <c r="L60" s="32">
        <v>160</v>
      </c>
      <c r="M60" s="28">
        <v>0</v>
      </c>
    </row>
    <row r="61" spans="2:31" x14ac:dyDescent="0.3">
      <c r="L61" s="32">
        <v>170</v>
      </c>
      <c r="M61" s="28">
        <v>0</v>
      </c>
    </row>
    <row r="62" spans="2:31" x14ac:dyDescent="0.3">
      <c r="L62" s="32">
        <v>180</v>
      </c>
      <c r="M62" s="28">
        <v>0</v>
      </c>
    </row>
    <row r="63" spans="2:31" x14ac:dyDescent="0.3">
      <c r="L63" s="32">
        <v>190</v>
      </c>
      <c r="M63" s="28">
        <v>0</v>
      </c>
    </row>
    <row r="64" spans="2:31" x14ac:dyDescent="0.3">
      <c r="L64" s="32">
        <v>200</v>
      </c>
      <c r="M64" s="28">
        <v>1</v>
      </c>
    </row>
    <row r="65" spans="12:13" ht="15" thickBot="1" x14ac:dyDescent="0.35">
      <c r="L65" s="29" t="s">
        <v>51</v>
      </c>
      <c r="M65" s="29">
        <v>0</v>
      </c>
    </row>
    <row r="67" spans="12:13" ht="15" thickBot="1" x14ac:dyDescent="0.35"/>
    <row r="68" spans="12:13" x14ac:dyDescent="0.3">
      <c r="L68" s="30" t="s">
        <v>50</v>
      </c>
      <c r="M68" s="30" t="s">
        <v>49</v>
      </c>
    </row>
    <row r="69" spans="12:13" x14ac:dyDescent="0.3">
      <c r="L69" s="32">
        <v>1</v>
      </c>
      <c r="M69" s="28">
        <v>10</v>
      </c>
    </row>
    <row r="70" spans="12:13" x14ac:dyDescent="0.3">
      <c r="L70" s="32">
        <v>2</v>
      </c>
      <c r="M70" s="28">
        <v>21</v>
      </c>
    </row>
    <row r="71" spans="12:13" x14ac:dyDescent="0.3">
      <c r="L71" s="32">
        <v>3</v>
      </c>
      <c r="M71" s="28">
        <v>13</v>
      </c>
    </row>
    <row r="72" spans="12:13" x14ac:dyDescent="0.3">
      <c r="L72" s="32">
        <v>4</v>
      </c>
      <c r="M72" s="28">
        <v>9</v>
      </c>
    </row>
    <row r="73" spans="12:13" x14ac:dyDescent="0.3">
      <c r="L73" s="32">
        <v>5</v>
      </c>
      <c r="M73" s="28">
        <v>1</v>
      </c>
    </row>
    <row r="74" spans="12:13" x14ac:dyDescent="0.3">
      <c r="L74" s="32">
        <v>6</v>
      </c>
      <c r="M74" s="28">
        <v>0</v>
      </c>
    </row>
    <row r="75" spans="12:13" x14ac:dyDescent="0.3">
      <c r="L75" s="32">
        <v>7</v>
      </c>
      <c r="M75" s="28">
        <v>1</v>
      </c>
    </row>
    <row r="76" spans="12:13" ht="15" thickBot="1" x14ac:dyDescent="0.35">
      <c r="L76" s="29" t="s">
        <v>51</v>
      </c>
      <c r="M76" s="29">
        <v>0</v>
      </c>
    </row>
    <row r="80" spans="12:13" ht="15" thickBot="1" x14ac:dyDescent="0.35"/>
    <row r="81" spans="12:13" x14ac:dyDescent="0.3">
      <c r="L81" s="30" t="s">
        <v>50</v>
      </c>
      <c r="M81" s="30" t="s">
        <v>49</v>
      </c>
    </row>
    <row r="82" spans="12:13" x14ac:dyDescent="0.3">
      <c r="L82" s="32">
        <v>1</v>
      </c>
      <c r="M82" s="28">
        <v>52</v>
      </c>
    </row>
    <row r="83" spans="12:13" x14ac:dyDescent="0.3">
      <c r="L83" s="32">
        <v>2</v>
      </c>
      <c r="M83" s="28">
        <v>3</v>
      </c>
    </row>
    <row r="84" spans="12:13" ht="15" thickBot="1" x14ac:dyDescent="0.35">
      <c r="L84" s="29" t="s">
        <v>51</v>
      </c>
      <c r="M84" s="29">
        <v>0</v>
      </c>
    </row>
  </sheetData>
  <sortState xmlns:xlrd2="http://schemas.microsoft.com/office/spreadsheetml/2017/richdata2" ref="L81:L82">
    <sortCondition ref="L81"/>
  </sortState>
  <mergeCells count="8">
    <mergeCell ref="BE11:BJ11"/>
    <mergeCell ref="BG10:BH10"/>
    <mergeCell ref="AD1:AF1"/>
    <mergeCell ref="BE5:BF5"/>
    <mergeCell ref="BG5:BH5"/>
    <mergeCell ref="BE9:BF9"/>
    <mergeCell ref="BE2:BK2"/>
    <mergeCell ref="BE3:BK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23E61-7823-477D-885D-93AC0CDC6B60}">
  <dimension ref="A1:BO56"/>
  <sheetViews>
    <sheetView topLeftCell="AS1" workbookViewId="0">
      <selection activeCell="BI1" sqref="BI1:BO1"/>
    </sheetView>
  </sheetViews>
  <sheetFormatPr defaultRowHeight="14.4" x14ac:dyDescent="0.3"/>
  <cols>
    <col min="13" max="13" width="9.77734375" bestFit="1" customWidth="1"/>
    <col min="37" max="37" width="12" bestFit="1" customWidth="1"/>
    <col min="47" max="47" width="3.77734375" bestFit="1" customWidth="1"/>
    <col min="49" max="49" width="12" bestFit="1" customWidth="1"/>
    <col min="54" max="54" width="3.77734375" bestFit="1" customWidth="1"/>
    <col min="57" max="57" width="12" bestFit="1" customWidth="1"/>
  </cols>
  <sheetData>
    <row r="1" spans="1:67" ht="16.2" x14ac:dyDescent="0.3">
      <c r="A1" s="37" t="s">
        <v>89</v>
      </c>
      <c r="B1" s="1" t="s">
        <v>4</v>
      </c>
      <c r="C1" s="1" t="s">
        <v>5</v>
      </c>
      <c r="D1" s="1" t="s">
        <v>0</v>
      </c>
      <c r="E1" s="39" t="s">
        <v>11</v>
      </c>
      <c r="F1" s="39" t="s">
        <v>6</v>
      </c>
      <c r="G1" s="39" t="s">
        <v>13</v>
      </c>
      <c r="H1" s="39" t="s">
        <v>18</v>
      </c>
      <c r="I1" s="14" t="s">
        <v>31</v>
      </c>
      <c r="J1" s="14" t="s">
        <v>10</v>
      </c>
      <c r="K1" s="57"/>
      <c r="S1" s="61" t="s">
        <v>33</v>
      </c>
      <c r="AE1" s="37" t="s">
        <v>52</v>
      </c>
      <c r="AF1" t="s">
        <v>55</v>
      </c>
      <c r="AP1" s="37" t="s">
        <v>53</v>
      </c>
      <c r="AT1" s="37" t="s">
        <v>54</v>
      </c>
      <c r="AU1" s="42" t="s">
        <v>104</v>
      </c>
      <c r="AV1" s="42"/>
      <c r="AW1" s="42"/>
      <c r="AX1" s="42"/>
      <c r="AY1" s="42"/>
      <c r="AZ1" s="42"/>
      <c r="BA1" s="37" t="s">
        <v>80</v>
      </c>
      <c r="BB1" s="42" t="s">
        <v>157</v>
      </c>
      <c r="BC1" s="42"/>
      <c r="BD1" s="42"/>
      <c r="BE1" s="42"/>
      <c r="BF1" s="42"/>
      <c r="BG1" s="42"/>
      <c r="BH1" s="38" t="s">
        <v>81</v>
      </c>
      <c r="BI1" s="40" t="s">
        <v>123</v>
      </c>
      <c r="BJ1" s="40"/>
      <c r="BK1" s="40"/>
      <c r="BL1" s="40"/>
      <c r="BM1" s="40"/>
      <c r="BN1" s="40"/>
      <c r="BO1" s="40"/>
    </row>
    <row r="2" spans="1:67" ht="15" thickBot="1" x14ac:dyDescent="0.35">
      <c r="B2" s="10">
        <v>28500</v>
      </c>
      <c r="C2" s="5">
        <v>56</v>
      </c>
      <c r="D2" s="5">
        <v>2</v>
      </c>
      <c r="E2">
        <f t="shared" ref="E2:E33" si="0">IF(J2="Masonry",1,0)</f>
        <v>1</v>
      </c>
      <c r="F2">
        <f>IF(I2="Chilanzar",1,0)</f>
        <v>1</v>
      </c>
      <c r="G2">
        <f>IF(I2="Sergeli",1,0)</f>
        <v>0</v>
      </c>
      <c r="H2">
        <f>IF(I2="Mirabad",1,0)</f>
        <v>0</v>
      </c>
      <c r="I2" s="16" t="s">
        <v>6</v>
      </c>
      <c r="J2" s="16" t="s">
        <v>11</v>
      </c>
      <c r="K2" s="18"/>
      <c r="L2" s="40" t="s">
        <v>156</v>
      </c>
      <c r="M2" s="40"/>
      <c r="N2" s="40"/>
      <c r="O2" s="40"/>
      <c r="P2" s="40"/>
      <c r="Q2" s="40"/>
      <c r="S2" s="40" t="s">
        <v>91</v>
      </c>
      <c r="T2" s="40"/>
      <c r="AP2" s="40" t="s">
        <v>103</v>
      </c>
      <c r="AQ2" s="40"/>
      <c r="AR2" s="38">
        <f>AG6</f>
        <v>0.73969163565242602</v>
      </c>
      <c r="AU2" t="s">
        <v>105</v>
      </c>
      <c r="AV2" s="40" t="s">
        <v>107</v>
      </c>
      <c r="AW2" s="40"/>
      <c r="AX2" s="40"/>
      <c r="AY2" s="40"/>
      <c r="AZ2" s="40"/>
      <c r="BB2" t="s">
        <v>105</v>
      </c>
      <c r="BC2" s="40" t="s">
        <v>115</v>
      </c>
      <c r="BD2" s="40"/>
      <c r="BE2" s="40"/>
      <c r="BF2" s="40"/>
      <c r="BG2" s="40"/>
    </row>
    <row r="3" spans="1:67" x14ac:dyDescent="0.3">
      <c r="B3" s="11">
        <v>27500</v>
      </c>
      <c r="C3" s="6">
        <v>50</v>
      </c>
      <c r="D3" s="6">
        <v>2</v>
      </c>
      <c r="E3">
        <f t="shared" si="0"/>
        <v>0</v>
      </c>
      <c r="F3">
        <f t="shared" ref="F3:F56" si="1">IF(I3="Chilanzar",1,0)</f>
        <v>1</v>
      </c>
      <c r="G3">
        <f t="shared" ref="G3:G56" si="2">IF(I3="Sergeli",1,0)</f>
        <v>0</v>
      </c>
      <c r="H3">
        <f t="shared" ref="H3:H56" si="3">IF(I3="Mirabad",1,0)</f>
        <v>0</v>
      </c>
      <c r="I3" s="18" t="s">
        <v>6</v>
      </c>
      <c r="J3" s="18" t="s">
        <v>12</v>
      </c>
      <c r="K3" s="18"/>
      <c r="S3" s="40" t="s">
        <v>94</v>
      </c>
      <c r="T3" s="40"/>
      <c r="U3" s="40"/>
      <c r="V3" s="40"/>
      <c r="W3" s="40"/>
      <c r="X3" s="40"/>
      <c r="Y3" s="40"/>
      <c r="Z3" s="40"/>
      <c r="AA3" s="40"/>
      <c r="AB3" s="40"/>
      <c r="AC3" s="40"/>
      <c r="AF3" s="31" t="s">
        <v>56</v>
      </c>
      <c r="AG3" s="31"/>
      <c r="AU3" t="s">
        <v>106</v>
      </c>
      <c r="AV3" s="40" t="s">
        <v>108</v>
      </c>
      <c r="AW3" s="40"/>
      <c r="AX3" s="40"/>
      <c r="AY3" s="40"/>
      <c r="AZ3" s="40"/>
      <c r="BB3" t="s">
        <v>106</v>
      </c>
      <c r="BC3" s="40" t="s">
        <v>116</v>
      </c>
      <c r="BD3" s="40"/>
      <c r="BE3" s="40"/>
      <c r="BF3" s="40"/>
      <c r="BG3" s="40"/>
    </row>
    <row r="4" spans="1:67" x14ac:dyDescent="0.3">
      <c r="B4" s="11">
        <v>28999</v>
      </c>
      <c r="C4" s="6">
        <v>62</v>
      </c>
      <c r="D4" s="6">
        <v>2</v>
      </c>
      <c r="E4">
        <f t="shared" si="0"/>
        <v>0</v>
      </c>
      <c r="F4">
        <f t="shared" si="1"/>
        <v>0</v>
      </c>
      <c r="G4">
        <f t="shared" si="2"/>
        <v>1</v>
      </c>
      <c r="H4">
        <f t="shared" si="3"/>
        <v>0</v>
      </c>
      <c r="I4" s="18" t="s">
        <v>13</v>
      </c>
      <c r="J4" s="18" t="s">
        <v>12</v>
      </c>
      <c r="K4" s="18"/>
      <c r="M4" t="s">
        <v>6</v>
      </c>
      <c r="N4" t="s">
        <v>13</v>
      </c>
      <c r="O4" t="s">
        <v>18</v>
      </c>
      <c r="AF4" s="28" t="s">
        <v>57</v>
      </c>
      <c r="AG4" s="28">
        <v>0.87670678521761258</v>
      </c>
    </row>
    <row r="5" spans="1:67" x14ac:dyDescent="0.3">
      <c r="B5" s="11">
        <v>19500</v>
      </c>
      <c r="C5" s="7">
        <v>32</v>
      </c>
      <c r="D5" s="7">
        <v>1</v>
      </c>
      <c r="E5">
        <f t="shared" si="0"/>
        <v>0</v>
      </c>
      <c r="F5">
        <f t="shared" si="1"/>
        <v>1</v>
      </c>
      <c r="G5">
        <f t="shared" si="2"/>
        <v>0</v>
      </c>
      <c r="H5">
        <f t="shared" si="3"/>
        <v>0</v>
      </c>
      <c r="I5" s="20" t="s">
        <v>6</v>
      </c>
      <c r="J5" s="20" t="s">
        <v>12</v>
      </c>
      <c r="K5" s="20"/>
      <c r="L5" t="s">
        <v>6</v>
      </c>
      <c r="M5">
        <v>1</v>
      </c>
      <c r="N5">
        <v>0</v>
      </c>
      <c r="O5">
        <v>0</v>
      </c>
      <c r="S5" s="40" t="s">
        <v>92</v>
      </c>
      <c r="T5" s="40"/>
      <c r="AF5" s="28" t="s">
        <v>58</v>
      </c>
      <c r="AG5" s="28">
        <v>0.76861478724660104</v>
      </c>
      <c r="AV5" s="40" t="s">
        <v>109</v>
      </c>
      <c r="AW5" s="40"/>
      <c r="BC5" s="40" t="s">
        <v>109</v>
      </c>
      <c r="BD5" s="40"/>
      <c r="BE5" s="40"/>
    </row>
    <row r="6" spans="1:67" x14ac:dyDescent="0.3">
      <c r="B6" s="11">
        <v>24500</v>
      </c>
      <c r="C6" s="7">
        <v>32</v>
      </c>
      <c r="D6" s="7">
        <v>1</v>
      </c>
      <c r="E6">
        <f t="shared" si="0"/>
        <v>0</v>
      </c>
      <c r="F6">
        <f t="shared" si="1"/>
        <v>1</v>
      </c>
      <c r="G6">
        <f t="shared" si="2"/>
        <v>0</v>
      </c>
      <c r="H6">
        <f t="shared" si="3"/>
        <v>0</v>
      </c>
      <c r="I6" s="20" t="s">
        <v>6</v>
      </c>
      <c r="J6" s="20" t="s">
        <v>12</v>
      </c>
      <c r="K6" s="20"/>
      <c r="L6" t="s">
        <v>13</v>
      </c>
      <c r="M6">
        <v>0</v>
      </c>
      <c r="N6">
        <v>1</v>
      </c>
      <c r="O6">
        <v>0</v>
      </c>
      <c r="S6" s="40" t="s">
        <v>93</v>
      </c>
      <c r="T6" s="40"/>
      <c r="U6" s="40"/>
      <c r="V6" s="40"/>
      <c r="W6" s="40"/>
      <c r="X6" s="40"/>
      <c r="Y6" s="40"/>
      <c r="Z6" s="40"/>
      <c r="AA6" s="40"/>
      <c r="AB6" s="40"/>
      <c r="AC6" s="40"/>
      <c r="AF6" s="28" t="s">
        <v>59</v>
      </c>
      <c r="AG6" s="28">
        <v>0.73969163565242602</v>
      </c>
      <c r="AT6" s="27"/>
      <c r="AU6" s="27"/>
      <c r="AV6" s="40" t="s">
        <v>110</v>
      </c>
      <c r="AW6" s="40"/>
      <c r="AX6" s="40"/>
      <c r="AY6" s="40"/>
      <c r="AZ6" s="40"/>
      <c r="BC6" s="40" t="s">
        <v>110</v>
      </c>
      <c r="BD6" s="40"/>
      <c r="BE6" s="40"/>
      <c r="BF6" s="40"/>
      <c r="BG6" s="40"/>
      <c r="BH6" s="40"/>
    </row>
    <row r="7" spans="1:67" x14ac:dyDescent="0.3">
      <c r="B7" s="11">
        <v>47999</v>
      </c>
      <c r="C7" s="7">
        <v>85</v>
      </c>
      <c r="D7" s="7">
        <v>4</v>
      </c>
      <c r="E7">
        <f t="shared" si="0"/>
        <v>1</v>
      </c>
      <c r="F7">
        <f t="shared" si="1"/>
        <v>1</v>
      </c>
      <c r="G7">
        <f t="shared" si="2"/>
        <v>0</v>
      </c>
      <c r="H7">
        <f t="shared" si="3"/>
        <v>0</v>
      </c>
      <c r="I7" s="20" t="s">
        <v>6</v>
      </c>
      <c r="J7" s="20" t="s">
        <v>11</v>
      </c>
      <c r="K7" s="20"/>
      <c r="L7" t="s">
        <v>18</v>
      </c>
      <c r="M7">
        <v>0</v>
      </c>
      <c r="N7">
        <v>0</v>
      </c>
      <c r="O7">
        <v>1</v>
      </c>
      <c r="AF7" s="28" t="s">
        <v>38</v>
      </c>
      <c r="AG7" s="28">
        <v>16738.741795571157</v>
      </c>
    </row>
    <row r="8" spans="1:67" ht="15" thickBot="1" x14ac:dyDescent="0.35">
      <c r="B8" s="11">
        <v>42000</v>
      </c>
      <c r="C8" s="7">
        <v>52</v>
      </c>
      <c r="D8" s="7">
        <v>2</v>
      </c>
      <c r="E8">
        <f t="shared" si="0"/>
        <v>0</v>
      </c>
      <c r="F8">
        <f t="shared" si="1"/>
        <v>0</v>
      </c>
      <c r="G8">
        <f t="shared" si="2"/>
        <v>0</v>
      </c>
      <c r="H8">
        <f t="shared" si="3"/>
        <v>0</v>
      </c>
      <c r="I8" s="20" t="s">
        <v>17</v>
      </c>
      <c r="J8" s="20" t="s">
        <v>12</v>
      </c>
      <c r="K8" s="20"/>
      <c r="L8" t="s">
        <v>17</v>
      </c>
      <c r="M8">
        <v>0</v>
      </c>
      <c r="N8">
        <v>0</v>
      </c>
      <c r="O8">
        <v>0</v>
      </c>
      <c r="AF8" s="29" t="s">
        <v>60</v>
      </c>
      <c r="AG8" s="29">
        <v>55</v>
      </c>
      <c r="AV8" t="s">
        <v>111</v>
      </c>
      <c r="AW8" s="34">
        <f>AK12</f>
        <v>1.09095991870139E-13</v>
      </c>
      <c r="BC8" s="40" t="s">
        <v>117</v>
      </c>
      <c r="BD8" s="40"/>
      <c r="BE8" s="38">
        <f>AJ18</f>
        <v>2.0212565797301699E-7</v>
      </c>
    </row>
    <row r="9" spans="1:67" x14ac:dyDescent="0.3">
      <c r="B9" s="11">
        <v>25500</v>
      </c>
      <c r="C9" s="7">
        <v>50</v>
      </c>
      <c r="D9" s="7">
        <v>2</v>
      </c>
      <c r="E9">
        <f t="shared" si="0"/>
        <v>0</v>
      </c>
      <c r="F9">
        <f t="shared" si="1"/>
        <v>1</v>
      </c>
      <c r="G9">
        <f t="shared" si="2"/>
        <v>0</v>
      </c>
      <c r="H9">
        <f t="shared" si="3"/>
        <v>0</v>
      </c>
      <c r="I9" s="20" t="s">
        <v>6</v>
      </c>
      <c r="J9" s="20" t="s">
        <v>12</v>
      </c>
      <c r="K9" s="20"/>
      <c r="AV9" t="s">
        <v>112</v>
      </c>
      <c r="AW9">
        <f xml:space="preserve"> 0.01</f>
        <v>0.01</v>
      </c>
      <c r="BC9" t="s">
        <v>112</v>
      </c>
      <c r="BD9">
        <f>AW9</f>
        <v>0.01</v>
      </c>
    </row>
    <row r="10" spans="1:67" ht="15" thickBot="1" x14ac:dyDescent="0.35">
      <c r="B10" s="11">
        <v>33500</v>
      </c>
      <c r="C10" s="7">
        <v>56</v>
      </c>
      <c r="D10" s="7">
        <v>2</v>
      </c>
      <c r="E10">
        <f t="shared" si="0"/>
        <v>1</v>
      </c>
      <c r="F10">
        <f t="shared" si="1"/>
        <v>1</v>
      </c>
      <c r="G10">
        <f t="shared" si="2"/>
        <v>0</v>
      </c>
      <c r="H10">
        <f t="shared" si="3"/>
        <v>0</v>
      </c>
      <c r="I10" s="20" t="s">
        <v>6</v>
      </c>
      <c r="J10" s="20" t="s">
        <v>11</v>
      </c>
      <c r="K10" s="20"/>
      <c r="M10" t="s">
        <v>11</v>
      </c>
      <c r="AF10" t="s">
        <v>61</v>
      </c>
      <c r="AV10" s="40" t="s">
        <v>113</v>
      </c>
      <c r="AW10" s="40"/>
      <c r="BC10" s="40" t="s">
        <v>113</v>
      </c>
      <c r="BD10" s="40"/>
    </row>
    <row r="11" spans="1:67" x14ac:dyDescent="0.3">
      <c r="B11" s="11">
        <v>23500</v>
      </c>
      <c r="C11" s="7">
        <v>34</v>
      </c>
      <c r="D11" s="7">
        <v>1</v>
      </c>
      <c r="E11">
        <f t="shared" si="0"/>
        <v>0</v>
      </c>
      <c r="F11">
        <f t="shared" si="1"/>
        <v>1</v>
      </c>
      <c r="G11">
        <f t="shared" si="2"/>
        <v>0</v>
      </c>
      <c r="H11">
        <f t="shared" si="3"/>
        <v>0</v>
      </c>
      <c r="I11" s="20" t="s">
        <v>6</v>
      </c>
      <c r="J11" s="20" t="s">
        <v>12</v>
      </c>
      <c r="K11" s="20"/>
      <c r="L11" t="s">
        <v>11</v>
      </c>
      <c r="M11">
        <v>1</v>
      </c>
      <c r="AF11" s="30"/>
      <c r="AG11" s="30" t="s">
        <v>66</v>
      </c>
      <c r="AH11" s="30" t="s">
        <v>67</v>
      </c>
      <c r="AI11" s="30" t="s">
        <v>68</v>
      </c>
      <c r="AJ11" s="30" t="s">
        <v>69</v>
      </c>
      <c r="AK11" s="30" t="s">
        <v>70</v>
      </c>
      <c r="AV11" s="44" t="s">
        <v>114</v>
      </c>
      <c r="AW11" s="44"/>
      <c r="BC11" s="44" t="s">
        <v>114</v>
      </c>
      <c r="BD11" s="44"/>
    </row>
    <row r="12" spans="1:67" x14ac:dyDescent="0.3">
      <c r="B12" s="11">
        <v>46498</v>
      </c>
      <c r="C12" s="7">
        <v>70</v>
      </c>
      <c r="D12" s="7">
        <v>3</v>
      </c>
      <c r="E12">
        <f t="shared" si="0"/>
        <v>1</v>
      </c>
      <c r="F12">
        <f t="shared" si="1"/>
        <v>1</v>
      </c>
      <c r="G12">
        <f t="shared" si="2"/>
        <v>0</v>
      </c>
      <c r="H12">
        <f t="shared" si="3"/>
        <v>0</v>
      </c>
      <c r="I12" s="20" t="s">
        <v>6</v>
      </c>
      <c r="J12" s="20" t="s">
        <v>11</v>
      </c>
      <c r="K12" s="20"/>
      <c r="L12" t="s">
        <v>12</v>
      </c>
      <c r="M12">
        <v>0</v>
      </c>
      <c r="AF12" s="28" t="s">
        <v>62</v>
      </c>
      <c r="AG12" s="28">
        <v>6</v>
      </c>
      <c r="AH12" s="28">
        <v>44674530024.493927</v>
      </c>
      <c r="AI12" s="28">
        <v>7445755004.0823212</v>
      </c>
      <c r="AJ12" s="28">
        <v>26.574378823966065</v>
      </c>
      <c r="AK12" s="65">
        <v>1.09095991870139E-13</v>
      </c>
    </row>
    <row r="13" spans="1:67" x14ac:dyDescent="0.3">
      <c r="B13" s="11">
        <v>25499</v>
      </c>
      <c r="C13" s="7">
        <v>52</v>
      </c>
      <c r="D13" s="7">
        <v>2</v>
      </c>
      <c r="E13">
        <f t="shared" si="0"/>
        <v>0</v>
      </c>
      <c r="F13">
        <f t="shared" si="1"/>
        <v>1</v>
      </c>
      <c r="G13">
        <f t="shared" si="2"/>
        <v>0</v>
      </c>
      <c r="H13">
        <f t="shared" si="3"/>
        <v>0</v>
      </c>
      <c r="I13" s="20" t="s">
        <v>6</v>
      </c>
      <c r="J13" s="20" t="s">
        <v>12</v>
      </c>
      <c r="K13" s="20"/>
      <c r="AF13" s="28" t="s">
        <v>63</v>
      </c>
      <c r="AG13" s="28">
        <v>48</v>
      </c>
      <c r="AH13" s="28">
        <v>13448902891.142433</v>
      </c>
      <c r="AI13" s="28">
        <v>280185476.89880067</v>
      </c>
      <c r="AJ13" s="28"/>
      <c r="AK13" s="28"/>
    </row>
    <row r="14" spans="1:67" ht="15" thickBot="1" x14ac:dyDescent="0.35">
      <c r="B14" s="11">
        <v>37000</v>
      </c>
      <c r="C14" s="7">
        <v>63</v>
      </c>
      <c r="D14" s="7">
        <v>2</v>
      </c>
      <c r="E14">
        <f t="shared" si="0"/>
        <v>0</v>
      </c>
      <c r="F14">
        <f t="shared" si="1"/>
        <v>0</v>
      </c>
      <c r="G14">
        <f t="shared" si="2"/>
        <v>0</v>
      </c>
      <c r="H14">
        <f t="shared" si="3"/>
        <v>1</v>
      </c>
      <c r="I14" s="20" t="s">
        <v>18</v>
      </c>
      <c r="J14" s="20" t="s">
        <v>12</v>
      </c>
      <c r="K14" s="20"/>
      <c r="AF14" s="29" t="s">
        <v>64</v>
      </c>
      <c r="AG14" s="29">
        <v>54</v>
      </c>
      <c r="AH14" s="29">
        <v>58123432915.63636</v>
      </c>
      <c r="AI14" s="29"/>
      <c r="AJ14" s="29"/>
      <c r="AK14" s="29"/>
      <c r="BB14" s="42" t="s">
        <v>157</v>
      </c>
      <c r="BC14" s="42"/>
      <c r="BD14" s="42"/>
      <c r="BE14" s="42"/>
      <c r="BF14" s="42"/>
      <c r="BG14" s="42"/>
    </row>
    <row r="15" spans="1:67" ht="15" thickBot="1" x14ac:dyDescent="0.35">
      <c r="B15" s="11">
        <v>25000</v>
      </c>
      <c r="C15" s="7">
        <v>30</v>
      </c>
      <c r="D15" s="7">
        <v>1</v>
      </c>
      <c r="E15">
        <f t="shared" si="0"/>
        <v>0</v>
      </c>
      <c r="F15">
        <f t="shared" si="1"/>
        <v>1</v>
      </c>
      <c r="G15">
        <f t="shared" si="2"/>
        <v>0</v>
      </c>
      <c r="H15">
        <f t="shared" si="3"/>
        <v>0</v>
      </c>
      <c r="I15" s="20" t="s">
        <v>6</v>
      </c>
      <c r="J15" s="20" t="s">
        <v>12</v>
      </c>
      <c r="K15" s="20"/>
      <c r="BB15" t="s">
        <v>105</v>
      </c>
      <c r="BC15" s="40" t="s">
        <v>121</v>
      </c>
      <c r="BD15" s="40"/>
      <c r="BE15" s="40"/>
      <c r="BF15" s="40"/>
      <c r="BG15" s="40"/>
    </row>
    <row r="16" spans="1:67" x14ac:dyDescent="0.3">
      <c r="B16" s="11">
        <v>55000</v>
      </c>
      <c r="C16" s="7">
        <v>64</v>
      </c>
      <c r="D16" s="7">
        <v>2</v>
      </c>
      <c r="E16">
        <f t="shared" si="0"/>
        <v>0</v>
      </c>
      <c r="F16">
        <f t="shared" si="1"/>
        <v>0</v>
      </c>
      <c r="G16">
        <f t="shared" si="2"/>
        <v>0</v>
      </c>
      <c r="H16">
        <f t="shared" si="3"/>
        <v>1</v>
      </c>
      <c r="I16" s="20" t="s">
        <v>18</v>
      </c>
      <c r="J16" s="20" t="s">
        <v>12</v>
      </c>
      <c r="K16" s="20"/>
      <c r="AF16" s="30"/>
      <c r="AG16" s="30" t="s">
        <v>71</v>
      </c>
      <c r="AH16" s="30" t="s">
        <v>38</v>
      </c>
      <c r="AI16" s="30" t="s">
        <v>72</v>
      </c>
      <c r="AJ16" s="30" t="s">
        <v>73</v>
      </c>
      <c r="AK16" s="30" t="s">
        <v>74</v>
      </c>
      <c r="AL16" s="30" t="s">
        <v>75</v>
      </c>
      <c r="AM16" s="30" t="s">
        <v>95</v>
      </c>
      <c r="AN16" s="30" t="s">
        <v>96</v>
      </c>
      <c r="BB16" t="s">
        <v>106</v>
      </c>
      <c r="BC16" s="40" t="s">
        <v>122</v>
      </c>
      <c r="BD16" s="40"/>
      <c r="BE16" s="40"/>
      <c r="BF16" s="40"/>
      <c r="BG16" s="40"/>
    </row>
    <row r="17" spans="2:60" x14ac:dyDescent="0.3">
      <c r="B17" s="11">
        <v>33000</v>
      </c>
      <c r="C17" s="7">
        <v>60</v>
      </c>
      <c r="D17" s="7">
        <v>2</v>
      </c>
      <c r="E17">
        <f t="shared" si="0"/>
        <v>0</v>
      </c>
      <c r="F17">
        <f t="shared" si="1"/>
        <v>0</v>
      </c>
      <c r="G17">
        <f t="shared" si="2"/>
        <v>0</v>
      </c>
      <c r="H17">
        <f t="shared" si="3"/>
        <v>0</v>
      </c>
      <c r="I17" s="20" t="s">
        <v>17</v>
      </c>
      <c r="J17" s="20" t="s">
        <v>12</v>
      </c>
      <c r="K17" s="20"/>
      <c r="AF17" s="28" t="s">
        <v>65</v>
      </c>
      <c r="AG17" s="28">
        <v>-21112.562767375941</v>
      </c>
      <c r="AH17" s="28">
        <v>8525.9782024232463</v>
      </c>
      <c r="AI17" s="28">
        <v>-2.4762628130312772</v>
      </c>
      <c r="AJ17" s="28">
        <v>1.6854378028613753E-2</v>
      </c>
      <c r="AK17" s="28">
        <v>-38255.190883914685</v>
      </c>
      <c r="AL17" s="28">
        <v>-3969.9346508371964</v>
      </c>
      <c r="AM17" s="28">
        <v>-43980.975835605335</v>
      </c>
      <c r="AN17" s="28">
        <v>1755.8503008534499</v>
      </c>
    </row>
    <row r="18" spans="2:60" x14ac:dyDescent="0.3">
      <c r="B18" s="11">
        <v>81000</v>
      </c>
      <c r="C18" s="7">
        <v>150</v>
      </c>
      <c r="D18" s="7">
        <v>4</v>
      </c>
      <c r="E18">
        <f t="shared" si="0"/>
        <v>1</v>
      </c>
      <c r="F18">
        <f t="shared" si="1"/>
        <v>0</v>
      </c>
      <c r="G18">
        <f t="shared" si="2"/>
        <v>0</v>
      </c>
      <c r="H18">
        <f t="shared" si="3"/>
        <v>0</v>
      </c>
      <c r="I18" s="20" t="s">
        <v>17</v>
      </c>
      <c r="J18" s="20" t="s">
        <v>11</v>
      </c>
      <c r="K18" s="20"/>
      <c r="AF18" s="28" t="s">
        <v>48</v>
      </c>
      <c r="AG18" s="28">
        <v>1198.4647959266306</v>
      </c>
      <c r="AH18" s="28">
        <v>197.72521484354442</v>
      </c>
      <c r="AI18" s="28">
        <v>6.0612643505025359</v>
      </c>
      <c r="AJ18" s="66">
        <v>2.0212565797301699E-7</v>
      </c>
      <c r="AK18" s="28">
        <v>800.91160650348161</v>
      </c>
      <c r="AL18" s="28">
        <v>1596.0179853497796</v>
      </c>
      <c r="AM18" s="28">
        <v>668.1254284436792</v>
      </c>
      <c r="AN18" s="28">
        <v>1728.8041634095821</v>
      </c>
      <c r="BC18" s="40" t="s">
        <v>109</v>
      </c>
      <c r="BD18" s="40"/>
      <c r="BE18" s="40"/>
    </row>
    <row r="19" spans="2:60" x14ac:dyDescent="0.3">
      <c r="B19" s="11">
        <v>46000</v>
      </c>
      <c r="C19" s="7">
        <v>92</v>
      </c>
      <c r="D19" s="7">
        <v>4</v>
      </c>
      <c r="E19">
        <f t="shared" si="0"/>
        <v>0</v>
      </c>
      <c r="F19">
        <f t="shared" si="1"/>
        <v>0</v>
      </c>
      <c r="G19">
        <f t="shared" si="2"/>
        <v>0</v>
      </c>
      <c r="H19">
        <f t="shared" si="3"/>
        <v>0</v>
      </c>
      <c r="I19" s="20" t="s">
        <v>17</v>
      </c>
      <c r="J19" s="20" t="s">
        <v>12</v>
      </c>
      <c r="K19" s="20"/>
      <c r="AF19" s="28" t="s">
        <v>0</v>
      </c>
      <c r="AG19" s="28">
        <v>-8117.7726239249159</v>
      </c>
      <c r="AH19" s="28">
        <v>4769.9801948106087</v>
      </c>
      <c r="AI19" s="28">
        <v>-1.7018461906312445</v>
      </c>
      <c r="AJ19" s="62">
        <v>9.5253697845136306E-2</v>
      </c>
      <c r="AK19" s="28">
        <v>-17708.46059679033</v>
      </c>
      <c r="AL19" s="28">
        <v>1472.9153489404971</v>
      </c>
      <c r="AM19" s="28">
        <v>-20911.832710918705</v>
      </c>
      <c r="AN19" s="28">
        <v>4676.2874630688721</v>
      </c>
      <c r="BC19" s="40" t="s">
        <v>110</v>
      </c>
      <c r="BD19" s="40"/>
      <c r="BE19" s="40"/>
      <c r="BF19" s="40"/>
      <c r="BG19" s="40"/>
      <c r="BH19" s="40"/>
    </row>
    <row r="20" spans="2:60" x14ac:dyDescent="0.3">
      <c r="B20" s="11">
        <v>52000</v>
      </c>
      <c r="C20" s="7">
        <v>42</v>
      </c>
      <c r="D20" s="7">
        <v>1</v>
      </c>
      <c r="E20">
        <f t="shared" si="0"/>
        <v>1</v>
      </c>
      <c r="F20">
        <f t="shared" si="1"/>
        <v>0</v>
      </c>
      <c r="G20">
        <f t="shared" si="2"/>
        <v>0</v>
      </c>
      <c r="H20">
        <f t="shared" si="3"/>
        <v>1</v>
      </c>
      <c r="I20" s="20" t="s">
        <v>18</v>
      </c>
      <c r="J20" s="20" t="s">
        <v>11</v>
      </c>
      <c r="K20" s="20"/>
      <c r="AF20" s="28" t="s">
        <v>11</v>
      </c>
      <c r="AG20" s="28">
        <v>-6814.1818592493282</v>
      </c>
      <c r="AH20" s="28">
        <v>5048.9094130704289</v>
      </c>
      <c r="AI20" s="28">
        <v>-1.34963440651342</v>
      </c>
      <c r="AJ20" s="28">
        <v>0.18346445777702367</v>
      </c>
      <c r="AK20" s="28">
        <v>-16965.694613264892</v>
      </c>
      <c r="AL20" s="28">
        <v>3337.3308947662345</v>
      </c>
      <c r="AM20" s="28">
        <v>-20356.38701869368</v>
      </c>
      <c r="AN20" s="28">
        <v>6728.0233001950246</v>
      </c>
    </row>
    <row r="21" spans="2:60" x14ac:dyDescent="0.3">
      <c r="B21" s="11">
        <v>76000</v>
      </c>
      <c r="C21" s="7">
        <v>75</v>
      </c>
      <c r="D21" s="7">
        <v>3</v>
      </c>
      <c r="E21">
        <f t="shared" si="0"/>
        <v>1</v>
      </c>
      <c r="F21">
        <f t="shared" si="1"/>
        <v>0</v>
      </c>
      <c r="G21">
        <f t="shared" si="2"/>
        <v>0</v>
      </c>
      <c r="H21">
        <f t="shared" si="3"/>
        <v>1</v>
      </c>
      <c r="I21" s="20" t="s">
        <v>18</v>
      </c>
      <c r="J21" s="20" t="s">
        <v>11</v>
      </c>
      <c r="K21" s="20"/>
      <c r="AF21" s="28" t="s">
        <v>6</v>
      </c>
      <c r="AG21" s="28">
        <v>9203.2523702447306</v>
      </c>
      <c r="AH21" s="28">
        <v>7009.5995751539403</v>
      </c>
      <c r="AI21" s="28">
        <v>1.3129498014218044</v>
      </c>
      <c r="AJ21" s="28">
        <v>0.19544247232182321</v>
      </c>
      <c r="AK21" s="28">
        <v>-4890.4921725878266</v>
      </c>
      <c r="AL21" s="28">
        <v>23296.996913077288</v>
      </c>
      <c r="AM21" s="28">
        <v>-9597.923837541688</v>
      </c>
      <c r="AN21" s="28">
        <v>28004.428578031147</v>
      </c>
      <c r="BC21" s="40" t="s">
        <v>118</v>
      </c>
      <c r="BD21" s="40"/>
      <c r="BE21" s="38">
        <f>AJ19</f>
        <v>9.5253697845136306E-2</v>
      </c>
    </row>
    <row r="22" spans="2:60" x14ac:dyDescent="0.3">
      <c r="B22" s="11">
        <v>31500</v>
      </c>
      <c r="C22" s="7">
        <v>70</v>
      </c>
      <c r="D22" s="7">
        <v>3</v>
      </c>
      <c r="E22">
        <f t="shared" si="0"/>
        <v>1</v>
      </c>
      <c r="F22">
        <f t="shared" si="1"/>
        <v>1</v>
      </c>
      <c r="G22">
        <f t="shared" si="2"/>
        <v>0</v>
      </c>
      <c r="H22">
        <f t="shared" si="3"/>
        <v>0</v>
      </c>
      <c r="I22" s="20" t="s">
        <v>6</v>
      </c>
      <c r="J22" s="20" t="s">
        <v>11</v>
      </c>
      <c r="K22" s="20"/>
      <c r="AF22" s="28" t="s">
        <v>13</v>
      </c>
      <c r="AG22" s="28">
        <v>-9045.3207899348636</v>
      </c>
      <c r="AH22" s="28">
        <v>6945.0895293053845</v>
      </c>
      <c r="AI22" s="28">
        <v>-1.3024052104393151</v>
      </c>
      <c r="AJ22" s="28">
        <v>0.1989925940835662</v>
      </c>
      <c r="AK22" s="28">
        <v>-23009.359192368385</v>
      </c>
      <c r="AL22" s="28">
        <v>4918.7176124986563</v>
      </c>
      <c r="AM22" s="28">
        <v>-27673.467892967543</v>
      </c>
      <c r="AN22" s="28">
        <v>9582.8263130978157</v>
      </c>
      <c r="BC22" t="s">
        <v>112</v>
      </c>
      <c r="BD22">
        <f>BD9</f>
        <v>0.01</v>
      </c>
    </row>
    <row r="23" spans="2:60" ht="15" thickBot="1" x14ac:dyDescent="0.35">
      <c r="B23" s="11">
        <v>65000</v>
      </c>
      <c r="C23" s="7">
        <v>70</v>
      </c>
      <c r="D23" s="7">
        <v>3</v>
      </c>
      <c r="E23">
        <f t="shared" si="0"/>
        <v>1</v>
      </c>
      <c r="F23">
        <f t="shared" si="1"/>
        <v>1</v>
      </c>
      <c r="G23">
        <f t="shared" si="2"/>
        <v>0</v>
      </c>
      <c r="H23">
        <f t="shared" si="3"/>
        <v>0</v>
      </c>
      <c r="I23" s="20" t="s">
        <v>6</v>
      </c>
      <c r="J23" s="20" t="s">
        <v>11</v>
      </c>
      <c r="K23" s="20"/>
      <c r="AF23" s="29" t="s">
        <v>18</v>
      </c>
      <c r="AG23" s="29">
        <v>25085.911263073645</v>
      </c>
      <c r="AH23" s="29">
        <v>6940.7990486264571</v>
      </c>
      <c r="AI23" s="29">
        <v>3.6142684851303968</v>
      </c>
      <c r="AJ23" s="29">
        <v>7.2015765060821967E-4</v>
      </c>
      <c r="AK23" s="29">
        <v>11130.499450220093</v>
      </c>
      <c r="AL23" s="29">
        <v>39041.323075927197</v>
      </c>
      <c r="AM23" s="29">
        <v>6469.2721045955368</v>
      </c>
      <c r="AN23" s="29">
        <v>43702.550421551758</v>
      </c>
      <c r="BC23" s="40" t="s">
        <v>120</v>
      </c>
      <c r="BD23" s="40"/>
    </row>
    <row r="24" spans="2:60" x14ac:dyDescent="0.3">
      <c r="B24" s="11">
        <v>45000</v>
      </c>
      <c r="C24" s="7">
        <v>40</v>
      </c>
      <c r="D24" s="7">
        <v>1</v>
      </c>
      <c r="E24">
        <f t="shared" si="0"/>
        <v>0</v>
      </c>
      <c r="F24">
        <f t="shared" si="1"/>
        <v>0</v>
      </c>
      <c r="G24">
        <f t="shared" si="2"/>
        <v>0</v>
      </c>
      <c r="H24">
        <f t="shared" si="3"/>
        <v>1</v>
      </c>
      <c r="I24" s="20" t="s">
        <v>18</v>
      </c>
      <c r="J24" s="20" t="s">
        <v>12</v>
      </c>
      <c r="K24" s="20"/>
      <c r="BC24" s="44" t="s">
        <v>119</v>
      </c>
      <c r="BD24" s="44"/>
    </row>
    <row r="25" spans="2:60" x14ac:dyDescent="0.3">
      <c r="B25" s="11">
        <v>46000</v>
      </c>
      <c r="C25" s="7">
        <v>78</v>
      </c>
      <c r="D25" s="7">
        <v>3</v>
      </c>
      <c r="E25">
        <f t="shared" si="0"/>
        <v>0</v>
      </c>
      <c r="F25">
        <f t="shared" si="1"/>
        <v>0</v>
      </c>
      <c r="G25">
        <f t="shared" si="2"/>
        <v>0</v>
      </c>
      <c r="H25">
        <f t="shared" si="3"/>
        <v>0</v>
      </c>
      <c r="I25" s="20" t="s">
        <v>17</v>
      </c>
      <c r="J25" s="20" t="s">
        <v>12</v>
      </c>
      <c r="K25" s="20"/>
      <c r="AF25" t="s">
        <v>78</v>
      </c>
      <c r="AG25">
        <f t="shared" ref="AG25:AG31" si="4">AG17</f>
        <v>-21112.562767375941</v>
      </c>
    </row>
    <row r="26" spans="2:60" x14ac:dyDescent="0.3">
      <c r="B26" s="11">
        <v>60000</v>
      </c>
      <c r="C26" s="7">
        <v>80</v>
      </c>
      <c r="D26" s="7">
        <v>3</v>
      </c>
      <c r="E26">
        <f t="shared" si="0"/>
        <v>1</v>
      </c>
      <c r="F26">
        <f t="shared" si="1"/>
        <v>0</v>
      </c>
      <c r="G26">
        <f t="shared" si="2"/>
        <v>0</v>
      </c>
      <c r="H26">
        <f t="shared" si="3"/>
        <v>1</v>
      </c>
      <c r="I26" s="20" t="s">
        <v>18</v>
      </c>
      <c r="J26" s="20" t="s">
        <v>11</v>
      </c>
      <c r="K26" s="20"/>
      <c r="AF26" t="s">
        <v>97</v>
      </c>
      <c r="AG26">
        <f t="shared" si="4"/>
        <v>1198.4647959266306</v>
      </c>
    </row>
    <row r="27" spans="2:60" x14ac:dyDescent="0.3">
      <c r="B27" s="11">
        <v>62000</v>
      </c>
      <c r="C27" s="7">
        <v>100</v>
      </c>
      <c r="D27" s="7">
        <v>4</v>
      </c>
      <c r="E27">
        <f t="shared" si="0"/>
        <v>1</v>
      </c>
      <c r="F27">
        <f t="shared" si="1"/>
        <v>0</v>
      </c>
      <c r="G27">
        <f t="shared" si="2"/>
        <v>0</v>
      </c>
      <c r="H27">
        <f t="shared" si="3"/>
        <v>0</v>
      </c>
      <c r="I27" s="20" t="s">
        <v>17</v>
      </c>
      <c r="J27" s="20" t="s">
        <v>11</v>
      </c>
      <c r="K27" s="20"/>
      <c r="AF27" t="s">
        <v>98</v>
      </c>
      <c r="AG27">
        <f t="shared" si="4"/>
        <v>-8117.7726239249159</v>
      </c>
    </row>
    <row r="28" spans="2:60" x14ac:dyDescent="0.3">
      <c r="B28" s="11">
        <v>190000</v>
      </c>
      <c r="C28" s="7">
        <v>200</v>
      </c>
      <c r="D28" s="7">
        <v>7</v>
      </c>
      <c r="E28">
        <f t="shared" si="0"/>
        <v>0</v>
      </c>
      <c r="F28">
        <f t="shared" si="1"/>
        <v>0</v>
      </c>
      <c r="G28">
        <f t="shared" si="2"/>
        <v>0</v>
      </c>
      <c r="H28">
        <f t="shared" si="3"/>
        <v>0</v>
      </c>
      <c r="I28" s="20" t="s">
        <v>17</v>
      </c>
      <c r="J28" s="20" t="s">
        <v>12</v>
      </c>
      <c r="K28" s="20"/>
      <c r="AF28" t="s">
        <v>99</v>
      </c>
      <c r="AG28">
        <f t="shared" si="4"/>
        <v>-6814.1818592493282</v>
      </c>
    </row>
    <row r="29" spans="2:60" x14ac:dyDescent="0.3">
      <c r="B29" s="11">
        <v>52700</v>
      </c>
      <c r="C29" s="7">
        <v>80</v>
      </c>
      <c r="D29" s="7">
        <v>3</v>
      </c>
      <c r="E29">
        <f t="shared" si="0"/>
        <v>1</v>
      </c>
      <c r="F29">
        <f t="shared" si="1"/>
        <v>1</v>
      </c>
      <c r="G29">
        <f t="shared" si="2"/>
        <v>0</v>
      </c>
      <c r="H29">
        <f t="shared" si="3"/>
        <v>0</v>
      </c>
      <c r="I29" s="20" t="s">
        <v>6</v>
      </c>
      <c r="J29" s="20" t="s">
        <v>11</v>
      </c>
      <c r="K29" s="20"/>
      <c r="AF29" t="s">
        <v>100</v>
      </c>
      <c r="AG29">
        <f t="shared" si="4"/>
        <v>9203.2523702447306</v>
      </c>
    </row>
    <row r="30" spans="2:60" x14ac:dyDescent="0.3">
      <c r="B30" s="11">
        <v>55000</v>
      </c>
      <c r="C30" s="7">
        <v>80</v>
      </c>
      <c r="D30" s="7">
        <v>2</v>
      </c>
      <c r="E30">
        <f t="shared" si="0"/>
        <v>1</v>
      </c>
      <c r="F30">
        <f t="shared" si="1"/>
        <v>0</v>
      </c>
      <c r="G30">
        <f t="shared" si="2"/>
        <v>0</v>
      </c>
      <c r="H30">
        <f t="shared" si="3"/>
        <v>1</v>
      </c>
      <c r="I30" s="20" t="s">
        <v>18</v>
      </c>
      <c r="J30" s="20" t="s">
        <v>11</v>
      </c>
      <c r="K30" s="20"/>
      <c r="AF30" t="s">
        <v>101</v>
      </c>
      <c r="AG30">
        <f t="shared" si="4"/>
        <v>-9045.3207899348636</v>
      </c>
    </row>
    <row r="31" spans="2:60" x14ac:dyDescent="0.3">
      <c r="B31" s="11">
        <v>20500</v>
      </c>
      <c r="C31" s="7">
        <v>37</v>
      </c>
      <c r="D31" s="7">
        <v>1</v>
      </c>
      <c r="E31">
        <f t="shared" si="0"/>
        <v>0</v>
      </c>
      <c r="F31">
        <f t="shared" si="1"/>
        <v>0</v>
      </c>
      <c r="G31">
        <f t="shared" si="2"/>
        <v>0</v>
      </c>
      <c r="H31">
        <f t="shared" si="3"/>
        <v>0</v>
      </c>
      <c r="I31" s="20" t="s">
        <v>17</v>
      </c>
      <c r="J31" s="20" t="s">
        <v>12</v>
      </c>
      <c r="K31" s="20"/>
      <c r="AF31" t="s">
        <v>102</v>
      </c>
      <c r="AG31">
        <f t="shared" si="4"/>
        <v>25085.911263073645</v>
      </c>
    </row>
    <row r="32" spans="2:60" x14ac:dyDescent="0.3">
      <c r="B32" s="11">
        <v>40500</v>
      </c>
      <c r="C32" s="7">
        <v>82</v>
      </c>
      <c r="D32" s="7">
        <v>4</v>
      </c>
      <c r="E32">
        <f t="shared" si="0"/>
        <v>1</v>
      </c>
      <c r="F32">
        <f t="shared" si="1"/>
        <v>1</v>
      </c>
      <c r="G32">
        <f t="shared" si="2"/>
        <v>0</v>
      </c>
      <c r="H32">
        <f t="shared" si="3"/>
        <v>0</v>
      </c>
      <c r="I32" s="20" t="s">
        <v>6</v>
      </c>
      <c r="J32" s="20" t="s">
        <v>11</v>
      </c>
      <c r="K32" s="20"/>
    </row>
    <row r="33" spans="2:11" x14ac:dyDescent="0.3">
      <c r="B33" s="11">
        <v>58000</v>
      </c>
      <c r="C33" s="7">
        <v>70</v>
      </c>
      <c r="D33" s="7">
        <v>3</v>
      </c>
      <c r="E33">
        <f t="shared" si="0"/>
        <v>1</v>
      </c>
      <c r="F33">
        <f t="shared" si="1"/>
        <v>0</v>
      </c>
      <c r="G33">
        <f t="shared" si="2"/>
        <v>0</v>
      </c>
      <c r="H33">
        <f t="shared" si="3"/>
        <v>0</v>
      </c>
      <c r="I33" s="20" t="s">
        <v>17</v>
      </c>
      <c r="J33" s="20" t="s">
        <v>11</v>
      </c>
      <c r="K33" s="20"/>
    </row>
    <row r="34" spans="2:11" x14ac:dyDescent="0.3">
      <c r="B34" s="11">
        <v>33000</v>
      </c>
      <c r="C34" s="7">
        <v>76</v>
      </c>
      <c r="D34" s="7">
        <v>2</v>
      </c>
      <c r="E34">
        <f t="shared" ref="E34:E56" si="5">IF(J34="Masonry",1,0)</f>
        <v>0</v>
      </c>
      <c r="F34">
        <f t="shared" si="1"/>
        <v>0</v>
      </c>
      <c r="G34">
        <f t="shared" si="2"/>
        <v>1</v>
      </c>
      <c r="H34">
        <f t="shared" si="3"/>
        <v>0</v>
      </c>
      <c r="I34" s="20" t="s">
        <v>13</v>
      </c>
      <c r="J34" s="20" t="s">
        <v>12</v>
      </c>
      <c r="K34" s="20"/>
    </row>
    <row r="35" spans="2:11" x14ac:dyDescent="0.3">
      <c r="B35" s="11">
        <v>87000</v>
      </c>
      <c r="C35" s="7">
        <v>100</v>
      </c>
      <c r="D35" s="7">
        <v>3</v>
      </c>
      <c r="E35">
        <f t="shared" si="5"/>
        <v>1</v>
      </c>
      <c r="F35">
        <f t="shared" si="1"/>
        <v>0</v>
      </c>
      <c r="G35">
        <f t="shared" si="2"/>
        <v>0</v>
      </c>
      <c r="H35">
        <f t="shared" si="3"/>
        <v>1</v>
      </c>
      <c r="I35" s="20" t="s">
        <v>18</v>
      </c>
      <c r="J35" s="20" t="s">
        <v>11</v>
      </c>
      <c r="K35" s="20"/>
    </row>
    <row r="36" spans="2:11" x14ac:dyDescent="0.3">
      <c r="B36" s="11">
        <v>19000</v>
      </c>
      <c r="C36" s="7">
        <v>43</v>
      </c>
      <c r="D36" s="7">
        <v>1</v>
      </c>
      <c r="E36">
        <f t="shared" si="5"/>
        <v>0</v>
      </c>
      <c r="F36">
        <f t="shared" si="1"/>
        <v>0</v>
      </c>
      <c r="G36">
        <f t="shared" si="2"/>
        <v>1</v>
      </c>
      <c r="H36">
        <f t="shared" si="3"/>
        <v>0</v>
      </c>
      <c r="I36" s="20" t="s">
        <v>13</v>
      </c>
      <c r="J36" s="20" t="s">
        <v>12</v>
      </c>
      <c r="K36" s="20"/>
    </row>
    <row r="37" spans="2:11" x14ac:dyDescent="0.3">
      <c r="B37" s="11">
        <v>28000</v>
      </c>
      <c r="C37" s="7">
        <v>50</v>
      </c>
      <c r="D37" s="7">
        <v>2</v>
      </c>
      <c r="E37">
        <f t="shared" si="5"/>
        <v>0</v>
      </c>
      <c r="F37">
        <f t="shared" si="1"/>
        <v>1</v>
      </c>
      <c r="G37">
        <f t="shared" si="2"/>
        <v>0</v>
      </c>
      <c r="H37">
        <f t="shared" si="3"/>
        <v>0</v>
      </c>
      <c r="I37" s="20" t="s">
        <v>6</v>
      </c>
      <c r="J37" s="20" t="s">
        <v>12</v>
      </c>
      <c r="K37" s="20"/>
    </row>
    <row r="38" spans="2:11" x14ac:dyDescent="0.3">
      <c r="B38" s="11">
        <v>46000</v>
      </c>
      <c r="C38" s="7">
        <v>93</v>
      </c>
      <c r="D38" s="7">
        <v>4</v>
      </c>
      <c r="E38">
        <f t="shared" si="5"/>
        <v>0</v>
      </c>
      <c r="F38">
        <f t="shared" si="1"/>
        <v>0</v>
      </c>
      <c r="G38">
        <f t="shared" si="2"/>
        <v>0</v>
      </c>
      <c r="H38">
        <f t="shared" si="3"/>
        <v>0</v>
      </c>
      <c r="I38" s="20" t="s">
        <v>17</v>
      </c>
      <c r="J38" s="20" t="s">
        <v>12</v>
      </c>
      <c r="K38" s="20"/>
    </row>
    <row r="39" spans="2:11" x14ac:dyDescent="0.3">
      <c r="B39" s="11">
        <v>38000</v>
      </c>
      <c r="C39" s="7">
        <v>84</v>
      </c>
      <c r="D39" s="7">
        <v>3</v>
      </c>
      <c r="E39">
        <f t="shared" si="5"/>
        <v>0</v>
      </c>
      <c r="F39">
        <f t="shared" si="1"/>
        <v>0</v>
      </c>
      <c r="G39">
        <f t="shared" si="2"/>
        <v>1</v>
      </c>
      <c r="H39">
        <f t="shared" si="3"/>
        <v>0</v>
      </c>
      <c r="I39" s="20" t="s">
        <v>13</v>
      </c>
      <c r="J39" s="20" t="s">
        <v>12</v>
      </c>
      <c r="K39" s="20"/>
    </row>
    <row r="40" spans="2:11" x14ac:dyDescent="0.3">
      <c r="B40" s="11">
        <v>33000</v>
      </c>
      <c r="C40" s="7">
        <v>60</v>
      </c>
      <c r="D40" s="7">
        <v>2</v>
      </c>
      <c r="E40">
        <f t="shared" si="5"/>
        <v>0</v>
      </c>
      <c r="F40">
        <f t="shared" si="1"/>
        <v>0</v>
      </c>
      <c r="G40">
        <f t="shared" si="2"/>
        <v>0</v>
      </c>
      <c r="H40">
        <f t="shared" si="3"/>
        <v>0</v>
      </c>
      <c r="I40" s="20" t="s">
        <v>17</v>
      </c>
      <c r="J40" s="20" t="s">
        <v>12</v>
      </c>
      <c r="K40" s="20"/>
    </row>
    <row r="41" spans="2:11" x14ac:dyDescent="0.3">
      <c r="B41" s="11">
        <v>64000</v>
      </c>
      <c r="C41" s="7">
        <v>82</v>
      </c>
      <c r="D41" s="7">
        <v>2</v>
      </c>
      <c r="E41">
        <f t="shared" si="5"/>
        <v>1</v>
      </c>
      <c r="F41">
        <f t="shared" si="1"/>
        <v>0</v>
      </c>
      <c r="G41">
        <f t="shared" si="2"/>
        <v>0</v>
      </c>
      <c r="H41">
        <f t="shared" si="3"/>
        <v>1</v>
      </c>
      <c r="I41" s="20" t="s">
        <v>18</v>
      </c>
      <c r="J41" s="20" t="s">
        <v>11</v>
      </c>
      <c r="K41" s="20"/>
    </row>
    <row r="42" spans="2:11" x14ac:dyDescent="0.3">
      <c r="B42" s="11">
        <v>26700</v>
      </c>
      <c r="C42" s="7">
        <v>50</v>
      </c>
      <c r="D42" s="7">
        <v>2</v>
      </c>
      <c r="E42">
        <f t="shared" si="5"/>
        <v>0</v>
      </c>
      <c r="F42">
        <f t="shared" si="1"/>
        <v>1</v>
      </c>
      <c r="G42">
        <f t="shared" si="2"/>
        <v>0</v>
      </c>
      <c r="H42">
        <f t="shared" si="3"/>
        <v>0</v>
      </c>
      <c r="I42" s="20" t="s">
        <v>6</v>
      </c>
      <c r="J42" s="20" t="s">
        <v>12</v>
      </c>
      <c r="K42" s="20"/>
    </row>
    <row r="43" spans="2:11" x14ac:dyDescent="0.3">
      <c r="B43" s="11">
        <v>92000</v>
      </c>
      <c r="C43" s="7">
        <v>100</v>
      </c>
      <c r="D43" s="7">
        <v>4</v>
      </c>
      <c r="E43">
        <f t="shared" si="5"/>
        <v>0</v>
      </c>
      <c r="F43">
        <f t="shared" si="1"/>
        <v>0</v>
      </c>
      <c r="G43">
        <f t="shared" si="2"/>
        <v>0</v>
      </c>
      <c r="H43">
        <f t="shared" si="3"/>
        <v>1</v>
      </c>
      <c r="I43" s="20" t="s">
        <v>18</v>
      </c>
      <c r="J43" s="20" t="s">
        <v>12</v>
      </c>
      <c r="K43" s="20"/>
    </row>
    <row r="44" spans="2:11" x14ac:dyDescent="0.3">
      <c r="B44" s="11">
        <v>36000</v>
      </c>
      <c r="C44" s="7">
        <v>57</v>
      </c>
      <c r="D44" s="7">
        <v>2</v>
      </c>
      <c r="E44">
        <f t="shared" si="5"/>
        <v>0</v>
      </c>
      <c r="F44">
        <f t="shared" si="1"/>
        <v>0</v>
      </c>
      <c r="G44">
        <f t="shared" si="2"/>
        <v>0</v>
      </c>
      <c r="H44">
        <f t="shared" si="3"/>
        <v>0</v>
      </c>
      <c r="I44" s="20" t="s">
        <v>17</v>
      </c>
      <c r="J44" s="20" t="s">
        <v>12</v>
      </c>
      <c r="K44" s="20"/>
    </row>
    <row r="45" spans="2:11" x14ac:dyDescent="0.3">
      <c r="B45" s="11">
        <v>103000</v>
      </c>
      <c r="C45" s="7">
        <v>100</v>
      </c>
      <c r="D45" s="7">
        <v>3</v>
      </c>
      <c r="E45">
        <f t="shared" si="5"/>
        <v>0</v>
      </c>
      <c r="F45">
        <f t="shared" si="1"/>
        <v>0</v>
      </c>
      <c r="G45">
        <f t="shared" si="2"/>
        <v>0</v>
      </c>
      <c r="H45">
        <f t="shared" si="3"/>
        <v>1</v>
      </c>
      <c r="I45" s="20" t="s">
        <v>18</v>
      </c>
      <c r="J45" s="20" t="s">
        <v>12</v>
      </c>
      <c r="K45" s="20"/>
    </row>
    <row r="46" spans="2:11" x14ac:dyDescent="0.3">
      <c r="B46" s="11">
        <v>38900</v>
      </c>
      <c r="C46" s="7">
        <v>95</v>
      </c>
      <c r="D46" s="7">
        <v>4</v>
      </c>
      <c r="E46">
        <f t="shared" si="5"/>
        <v>0</v>
      </c>
      <c r="F46">
        <f t="shared" si="1"/>
        <v>0</v>
      </c>
      <c r="G46">
        <f t="shared" si="2"/>
        <v>1</v>
      </c>
      <c r="H46">
        <f t="shared" si="3"/>
        <v>0</v>
      </c>
      <c r="I46" s="20" t="s">
        <v>13</v>
      </c>
      <c r="J46" s="20" t="s">
        <v>12</v>
      </c>
      <c r="K46" s="20"/>
    </row>
    <row r="47" spans="2:11" x14ac:dyDescent="0.3">
      <c r="B47" s="11">
        <v>46500</v>
      </c>
      <c r="C47" s="7">
        <v>103</v>
      </c>
      <c r="D47" s="7">
        <v>4</v>
      </c>
      <c r="E47">
        <f t="shared" si="5"/>
        <v>0</v>
      </c>
      <c r="F47">
        <f t="shared" si="1"/>
        <v>0</v>
      </c>
      <c r="G47">
        <f t="shared" si="2"/>
        <v>1</v>
      </c>
      <c r="H47">
        <f t="shared" si="3"/>
        <v>0</v>
      </c>
      <c r="I47" s="20" t="s">
        <v>13</v>
      </c>
      <c r="J47" s="20" t="s">
        <v>12</v>
      </c>
      <c r="K47" s="20"/>
    </row>
    <row r="48" spans="2:11" x14ac:dyDescent="0.3">
      <c r="B48" s="11">
        <v>25500</v>
      </c>
      <c r="C48" s="7">
        <v>52</v>
      </c>
      <c r="D48" s="7">
        <v>2</v>
      </c>
      <c r="E48">
        <f t="shared" si="5"/>
        <v>0</v>
      </c>
      <c r="F48">
        <f t="shared" si="1"/>
        <v>0</v>
      </c>
      <c r="G48">
        <f t="shared" si="2"/>
        <v>1</v>
      </c>
      <c r="H48">
        <f t="shared" si="3"/>
        <v>0</v>
      </c>
      <c r="I48" s="20" t="s">
        <v>13</v>
      </c>
      <c r="J48" s="20" t="s">
        <v>12</v>
      </c>
      <c r="K48" s="20"/>
    </row>
    <row r="49" spans="2:11" x14ac:dyDescent="0.3">
      <c r="B49" s="11">
        <v>25700</v>
      </c>
      <c r="C49" s="6">
        <v>60</v>
      </c>
      <c r="D49" s="6">
        <v>2</v>
      </c>
      <c r="E49">
        <f t="shared" si="5"/>
        <v>1</v>
      </c>
      <c r="F49">
        <f t="shared" si="1"/>
        <v>0</v>
      </c>
      <c r="G49">
        <f t="shared" si="2"/>
        <v>1</v>
      </c>
      <c r="H49">
        <f t="shared" si="3"/>
        <v>0</v>
      </c>
      <c r="I49" s="18" t="s">
        <v>13</v>
      </c>
      <c r="J49" s="18" t="s">
        <v>11</v>
      </c>
      <c r="K49" s="18"/>
    </row>
    <row r="50" spans="2:11" x14ac:dyDescent="0.3">
      <c r="B50" s="12">
        <v>76000</v>
      </c>
      <c r="C50" s="7">
        <v>115</v>
      </c>
      <c r="D50" s="7">
        <v>5</v>
      </c>
      <c r="E50">
        <f t="shared" si="5"/>
        <v>0</v>
      </c>
      <c r="F50">
        <f t="shared" si="1"/>
        <v>0</v>
      </c>
      <c r="G50">
        <f t="shared" si="2"/>
        <v>1</v>
      </c>
      <c r="H50">
        <f t="shared" si="3"/>
        <v>0</v>
      </c>
      <c r="I50" s="20" t="s">
        <v>13</v>
      </c>
      <c r="J50" s="20" t="s">
        <v>12</v>
      </c>
      <c r="K50" s="20"/>
    </row>
    <row r="51" spans="2:11" x14ac:dyDescent="0.3">
      <c r="B51" s="12">
        <v>41500</v>
      </c>
      <c r="C51" s="7">
        <v>77</v>
      </c>
      <c r="D51" s="7">
        <v>3</v>
      </c>
      <c r="E51">
        <f t="shared" si="5"/>
        <v>0</v>
      </c>
      <c r="F51">
        <f t="shared" si="1"/>
        <v>0</v>
      </c>
      <c r="G51">
        <f t="shared" si="2"/>
        <v>1</v>
      </c>
      <c r="H51">
        <f t="shared" si="3"/>
        <v>0</v>
      </c>
      <c r="I51" s="20" t="s">
        <v>13</v>
      </c>
      <c r="J51" s="20" t="s">
        <v>12</v>
      </c>
      <c r="K51" s="20"/>
    </row>
    <row r="52" spans="2:11" x14ac:dyDescent="0.3">
      <c r="B52" s="12">
        <v>33000</v>
      </c>
      <c r="C52" s="7">
        <v>70</v>
      </c>
      <c r="D52" s="7">
        <v>3</v>
      </c>
      <c r="E52">
        <f t="shared" si="5"/>
        <v>1</v>
      </c>
      <c r="F52">
        <f t="shared" si="1"/>
        <v>0</v>
      </c>
      <c r="G52">
        <f t="shared" si="2"/>
        <v>1</v>
      </c>
      <c r="H52">
        <f t="shared" si="3"/>
        <v>0</v>
      </c>
      <c r="I52" s="20" t="s">
        <v>13</v>
      </c>
      <c r="J52" s="20" t="s">
        <v>11</v>
      </c>
      <c r="K52" s="20"/>
    </row>
    <row r="53" spans="2:11" x14ac:dyDescent="0.3">
      <c r="B53" s="12">
        <v>178000</v>
      </c>
      <c r="C53" s="7">
        <v>100</v>
      </c>
      <c r="D53" s="7">
        <v>2</v>
      </c>
      <c r="E53">
        <f t="shared" si="5"/>
        <v>0</v>
      </c>
      <c r="F53">
        <f t="shared" si="1"/>
        <v>0</v>
      </c>
      <c r="G53">
        <f t="shared" si="2"/>
        <v>0</v>
      </c>
      <c r="H53">
        <f t="shared" si="3"/>
        <v>1</v>
      </c>
      <c r="I53" s="20" t="s">
        <v>18</v>
      </c>
      <c r="J53" s="20" t="s">
        <v>12</v>
      </c>
      <c r="K53" s="20"/>
    </row>
    <row r="54" spans="2:11" x14ac:dyDescent="0.3">
      <c r="B54" s="12">
        <v>40000</v>
      </c>
      <c r="C54" s="7">
        <v>63</v>
      </c>
      <c r="D54" s="7">
        <v>2</v>
      </c>
      <c r="E54">
        <f t="shared" si="5"/>
        <v>0</v>
      </c>
      <c r="F54">
        <f t="shared" si="1"/>
        <v>0</v>
      </c>
      <c r="G54">
        <f t="shared" si="2"/>
        <v>0</v>
      </c>
      <c r="H54">
        <f t="shared" si="3"/>
        <v>1</v>
      </c>
      <c r="I54" s="20" t="s">
        <v>18</v>
      </c>
      <c r="J54" s="20" t="s">
        <v>12</v>
      </c>
      <c r="K54" s="20"/>
    </row>
    <row r="55" spans="2:11" x14ac:dyDescent="0.3">
      <c r="B55" s="12">
        <v>43100</v>
      </c>
      <c r="C55" s="7">
        <v>38</v>
      </c>
      <c r="D55" s="7">
        <v>1</v>
      </c>
      <c r="E55">
        <f t="shared" si="5"/>
        <v>1</v>
      </c>
      <c r="F55">
        <f t="shared" si="1"/>
        <v>0</v>
      </c>
      <c r="G55">
        <f t="shared" si="2"/>
        <v>0</v>
      </c>
      <c r="H55">
        <f t="shared" si="3"/>
        <v>1</v>
      </c>
      <c r="I55" s="20" t="s">
        <v>18</v>
      </c>
      <c r="J55" s="20" t="s">
        <v>11</v>
      </c>
      <c r="K55" s="20"/>
    </row>
    <row r="56" spans="2:11" x14ac:dyDescent="0.3">
      <c r="B56" s="13">
        <v>22900</v>
      </c>
      <c r="C56" s="8">
        <v>59</v>
      </c>
      <c r="D56" s="8">
        <v>1</v>
      </c>
      <c r="E56">
        <f t="shared" si="5"/>
        <v>0</v>
      </c>
      <c r="F56">
        <f t="shared" si="1"/>
        <v>0</v>
      </c>
      <c r="G56">
        <f t="shared" si="2"/>
        <v>0</v>
      </c>
      <c r="H56">
        <f t="shared" si="3"/>
        <v>0</v>
      </c>
      <c r="I56" s="22" t="s">
        <v>17</v>
      </c>
      <c r="J56" s="22" t="s">
        <v>12</v>
      </c>
      <c r="K56" s="20"/>
    </row>
  </sheetData>
  <mergeCells count="30">
    <mergeCell ref="L2:Q2"/>
    <mergeCell ref="S2:T2"/>
    <mergeCell ref="S3:AC3"/>
    <mergeCell ref="S5:T5"/>
    <mergeCell ref="S6:AC6"/>
    <mergeCell ref="AP2:AQ2"/>
    <mergeCell ref="AV10:AW10"/>
    <mergeCell ref="AV11:AW11"/>
    <mergeCell ref="BB1:BG1"/>
    <mergeCell ref="BC2:BG2"/>
    <mergeCell ref="BC3:BG3"/>
    <mergeCell ref="BC5:BE5"/>
    <mergeCell ref="BC6:BH6"/>
    <mergeCell ref="BC8:BD8"/>
    <mergeCell ref="BC10:BD10"/>
    <mergeCell ref="BC11:BD11"/>
    <mergeCell ref="AU1:AZ1"/>
    <mergeCell ref="AV2:AZ2"/>
    <mergeCell ref="AV3:AZ3"/>
    <mergeCell ref="AV5:AW5"/>
    <mergeCell ref="AV6:AZ6"/>
    <mergeCell ref="BC23:BD23"/>
    <mergeCell ref="BC24:BD24"/>
    <mergeCell ref="BI1:BO1"/>
    <mergeCell ref="BB14:BG14"/>
    <mergeCell ref="BC15:BG15"/>
    <mergeCell ref="BC16:BG16"/>
    <mergeCell ref="BC18:BE18"/>
    <mergeCell ref="BC19:BH19"/>
    <mergeCell ref="BC21:BD2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675F-DB76-4FA6-BE9D-6847E1CB9CFE}">
  <dimension ref="A1:AA56"/>
  <sheetViews>
    <sheetView tabSelected="1" topLeftCell="H25" workbookViewId="0">
      <selection activeCell="U46" sqref="U46:AA48"/>
    </sheetView>
  </sheetViews>
  <sheetFormatPr defaultRowHeight="14.4" x14ac:dyDescent="0.3"/>
  <cols>
    <col min="7" max="7" width="9.77734375" bestFit="1" customWidth="1"/>
    <col min="8" max="8" width="11.109375" bestFit="1" customWidth="1"/>
    <col min="9" max="9" width="12.109375" bestFit="1" customWidth="1"/>
    <col min="11" max="11" width="10.5546875" bestFit="1" customWidth="1"/>
    <col min="12" max="12" width="3.77734375" bestFit="1" customWidth="1"/>
    <col min="21" max="21" width="31" bestFit="1" customWidth="1"/>
  </cols>
  <sheetData>
    <row r="1" spans="1:24" x14ac:dyDescent="0.3">
      <c r="A1" s="50" t="s">
        <v>124</v>
      </c>
      <c r="B1" s="1" t="s">
        <v>4</v>
      </c>
      <c r="C1" s="14" t="s">
        <v>31</v>
      </c>
      <c r="D1" s="14" t="s">
        <v>10</v>
      </c>
      <c r="F1" s="63" t="s">
        <v>33</v>
      </c>
      <c r="G1" s="27"/>
      <c r="H1" s="27"/>
      <c r="I1" s="27"/>
      <c r="K1" s="37" t="s">
        <v>52</v>
      </c>
      <c r="M1" s="42" t="s">
        <v>158</v>
      </c>
      <c r="N1" s="42"/>
      <c r="O1" s="42"/>
      <c r="P1" s="42"/>
      <c r="Q1" s="42"/>
      <c r="R1" s="42"/>
      <c r="T1" s="37" t="s">
        <v>53</v>
      </c>
    </row>
    <row r="2" spans="1:24" ht="14.4" customHeight="1" x14ac:dyDescent="0.3">
      <c r="B2" s="10">
        <v>28500</v>
      </c>
      <c r="C2" s="16" t="s">
        <v>6</v>
      </c>
      <c r="D2" s="16" t="s">
        <v>11</v>
      </c>
      <c r="F2" s="45"/>
      <c r="G2" s="46"/>
      <c r="H2" s="5" t="s">
        <v>11</v>
      </c>
      <c r="I2" s="47" t="s">
        <v>12</v>
      </c>
      <c r="U2" t="s">
        <v>134</v>
      </c>
    </row>
    <row r="3" spans="1:24" x14ac:dyDescent="0.3">
      <c r="B3" s="11">
        <v>27500</v>
      </c>
      <c r="C3" s="18" t="s">
        <v>6</v>
      </c>
      <c r="D3" s="18" t="s">
        <v>12</v>
      </c>
      <c r="F3" s="45"/>
      <c r="G3" s="48" t="s">
        <v>6</v>
      </c>
      <c r="H3" s="11">
        <v>28500</v>
      </c>
      <c r="I3" s="51">
        <v>25000</v>
      </c>
      <c r="K3" t="s">
        <v>125</v>
      </c>
      <c r="L3" t="s">
        <v>105</v>
      </c>
      <c r="M3" s="40" t="s">
        <v>128</v>
      </c>
      <c r="N3" s="40"/>
      <c r="O3" s="40"/>
      <c r="P3" s="40"/>
      <c r="Q3" s="40"/>
      <c r="R3" s="40"/>
      <c r="S3" s="40"/>
    </row>
    <row r="4" spans="1:24" x14ac:dyDescent="0.3">
      <c r="B4" s="11">
        <v>28999</v>
      </c>
      <c r="C4" s="18" t="s">
        <v>13</v>
      </c>
      <c r="D4" s="18" t="s">
        <v>12</v>
      </c>
      <c r="F4" s="45"/>
      <c r="G4" s="48"/>
      <c r="H4" s="11">
        <v>33500</v>
      </c>
      <c r="I4" s="51">
        <v>28000</v>
      </c>
      <c r="L4" t="s">
        <v>106</v>
      </c>
      <c r="M4" s="40" t="s">
        <v>129</v>
      </c>
      <c r="N4" s="40"/>
      <c r="O4" s="40"/>
      <c r="P4" s="40"/>
      <c r="Q4" s="40"/>
      <c r="R4" s="40"/>
      <c r="S4" s="40"/>
      <c r="U4" t="s">
        <v>135</v>
      </c>
      <c r="V4" t="s">
        <v>11</v>
      </c>
      <c r="W4" t="s">
        <v>12</v>
      </c>
      <c r="X4" t="s">
        <v>64</v>
      </c>
    </row>
    <row r="5" spans="1:24" ht="15" thickBot="1" x14ac:dyDescent="0.35">
      <c r="B5" s="11">
        <v>19500</v>
      </c>
      <c r="C5" s="20" t="s">
        <v>6</v>
      </c>
      <c r="D5" s="20" t="s">
        <v>12</v>
      </c>
      <c r="F5" s="45"/>
      <c r="G5" s="48" t="s">
        <v>17</v>
      </c>
      <c r="H5" s="11">
        <v>58000</v>
      </c>
      <c r="I5" s="51">
        <v>42000</v>
      </c>
      <c r="U5" s="55" t="s">
        <v>6</v>
      </c>
      <c r="V5" s="55"/>
      <c r="W5" s="55"/>
      <c r="X5" s="55"/>
    </row>
    <row r="6" spans="1:24" x14ac:dyDescent="0.3">
      <c r="B6" s="11">
        <v>24500</v>
      </c>
      <c r="C6" s="20" t="s">
        <v>6</v>
      </c>
      <c r="D6" s="20" t="s">
        <v>12</v>
      </c>
      <c r="F6" s="45"/>
      <c r="G6" s="48"/>
      <c r="H6" s="12">
        <v>81000</v>
      </c>
      <c r="I6" s="51">
        <v>190000</v>
      </c>
      <c r="K6" t="s">
        <v>127</v>
      </c>
      <c r="L6" t="s">
        <v>105</v>
      </c>
      <c r="M6" s="40" t="s">
        <v>130</v>
      </c>
      <c r="N6" s="40"/>
      <c r="O6" s="40"/>
      <c r="P6" s="40"/>
      <c r="Q6" s="40"/>
      <c r="R6" s="40"/>
      <c r="S6" s="40"/>
      <c r="U6" s="28" t="s">
        <v>46</v>
      </c>
      <c r="V6" s="28">
        <v>2</v>
      </c>
      <c r="W6" s="28">
        <v>2</v>
      </c>
      <c r="X6" s="28">
        <v>4</v>
      </c>
    </row>
    <row r="7" spans="1:24" x14ac:dyDescent="0.3">
      <c r="B7" s="11">
        <v>47999</v>
      </c>
      <c r="C7" s="20" t="s">
        <v>6</v>
      </c>
      <c r="D7" s="20" t="s">
        <v>11</v>
      </c>
      <c r="F7" s="45"/>
      <c r="G7" s="48" t="s">
        <v>18</v>
      </c>
      <c r="H7" s="12">
        <v>76000</v>
      </c>
      <c r="I7" s="51">
        <v>103000</v>
      </c>
      <c r="L7" t="s">
        <v>106</v>
      </c>
      <c r="M7" s="40" t="s">
        <v>131</v>
      </c>
      <c r="N7" s="40"/>
      <c r="O7" s="40"/>
      <c r="P7" s="40"/>
      <c r="Q7" s="40"/>
      <c r="R7" s="40"/>
      <c r="S7" s="40"/>
      <c r="U7" s="28" t="s">
        <v>45</v>
      </c>
      <c r="V7" s="28">
        <v>62000</v>
      </c>
      <c r="W7" s="28">
        <v>53000</v>
      </c>
      <c r="X7" s="28">
        <v>115000</v>
      </c>
    </row>
    <row r="8" spans="1:24" x14ac:dyDescent="0.3">
      <c r="B8" s="11">
        <v>42000</v>
      </c>
      <c r="C8" s="20" t="s">
        <v>17</v>
      </c>
      <c r="D8" s="20" t="s">
        <v>12</v>
      </c>
      <c r="F8" s="45"/>
      <c r="G8" s="48"/>
      <c r="H8" s="12">
        <v>60000</v>
      </c>
      <c r="I8" s="51">
        <v>37000</v>
      </c>
      <c r="U8" s="28" t="s">
        <v>136</v>
      </c>
      <c r="V8" s="28">
        <v>31000</v>
      </c>
      <c r="W8" s="28">
        <v>26500</v>
      </c>
      <c r="X8" s="28">
        <v>28750</v>
      </c>
    </row>
    <row r="9" spans="1:24" x14ac:dyDescent="0.3">
      <c r="B9" s="11">
        <v>25500</v>
      </c>
      <c r="C9" s="20" t="s">
        <v>6</v>
      </c>
      <c r="D9" s="20" t="s">
        <v>12</v>
      </c>
      <c r="F9" s="45"/>
      <c r="G9" s="48" t="s">
        <v>13</v>
      </c>
      <c r="H9" s="11">
        <v>33000</v>
      </c>
      <c r="I9" s="51">
        <v>38900</v>
      </c>
      <c r="K9" t="s">
        <v>126</v>
      </c>
      <c r="L9" t="s">
        <v>105</v>
      </c>
      <c r="M9" s="40" t="s">
        <v>133</v>
      </c>
      <c r="N9" s="40"/>
      <c r="O9" s="40"/>
      <c r="P9" s="40"/>
      <c r="Q9" s="40"/>
      <c r="R9" s="40"/>
      <c r="S9" s="40"/>
      <c r="U9" s="28" t="s">
        <v>137</v>
      </c>
      <c r="V9" s="28">
        <v>12500000</v>
      </c>
      <c r="W9" s="28">
        <v>4500000</v>
      </c>
      <c r="X9" s="28">
        <v>12416666.666666666</v>
      </c>
    </row>
    <row r="10" spans="1:24" x14ac:dyDescent="0.3">
      <c r="B10" s="11">
        <v>33500</v>
      </c>
      <c r="C10" s="20" t="s">
        <v>6</v>
      </c>
      <c r="D10" s="20" t="s">
        <v>11</v>
      </c>
      <c r="G10" s="49"/>
      <c r="H10" s="52">
        <v>25700</v>
      </c>
      <c r="I10" s="53">
        <v>46500</v>
      </c>
      <c r="L10" t="s">
        <v>106</v>
      </c>
      <c r="M10" s="40" t="s">
        <v>132</v>
      </c>
      <c r="N10" s="40"/>
      <c r="O10" s="40"/>
      <c r="P10" s="40"/>
      <c r="Q10" s="40"/>
      <c r="R10" s="40"/>
      <c r="S10" s="40"/>
      <c r="U10" s="28"/>
      <c r="V10" s="28"/>
      <c r="W10" s="28"/>
      <c r="X10" s="28"/>
    </row>
    <row r="11" spans="1:24" ht="15" thickBot="1" x14ac:dyDescent="0.35">
      <c r="B11" s="11">
        <v>23500</v>
      </c>
      <c r="C11" s="20" t="s">
        <v>6</v>
      </c>
      <c r="D11" s="20" t="s">
        <v>12</v>
      </c>
      <c r="H11" s="54"/>
      <c r="I11" s="54"/>
      <c r="U11" s="55" t="s">
        <v>17</v>
      </c>
      <c r="V11" s="55"/>
      <c r="W11" s="55"/>
      <c r="X11" s="55"/>
    </row>
    <row r="12" spans="1:24" x14ac:dyDescent="0.3">
      <c r="B12" s="11">
        <v>46498</v>
      </c>
      <c r="C12" s="20" t="s">
        <v>6</v>
      </c>
      <c r="D12" s="20" t="s">
        <v>11</v>
      </c>
      <c r="M12" s="42" t="s">
        <v>109</v>
      </c>
      <c r="N12" s="42"/>
      <c r="O12" s="42"/>
      <c r="P12" s="42"/>
      <c r="Q12" s="42"/>
      <c r="U12" s="28" t="s">
        <v>46</v>
      </c>
      <c r="V12" s="28">
        <v>2</v>
      </c>
      <c r="W12" s="28">
        <v>2</v>
      </c>
      <c r="X12" s="28">
        <v>4</v>
      </c>
    </row>
    <row r="13" spans="1:24" x14ac:dyDescent="0.3">
      <c r="B13" s="11">
        <v>25499</v>
      </c>
      <c r="C13" s="20" t="s">
        <v>6</v>
      </c>
      <c r="D13" s="20" t="s">
        <v>12</v>
      </c>
      <c r="M13" s="42" t="s">
        <v>144</v>
      </c>
      <c r="N13" s="42"/>
      <c r="O13" s="42"/>
      <c r="P13" s="42"/>
      <c r="Q13" s="42"/>
      <c r="R13" s="42"/>
      <c r="U13" s="28" t="s">
        <v>45</v>
      </c>
      <c r="V13" s="28">
        <v>139000</v>
      </c>
      <c r="W13" s="28">
        <v>232000</v>
      </c>
      <c r="X13" s="28">
        <v>371000</v>
      </c>
    </row>
    <row r="14" spans="1:24" x14ac:dyDescent="0.3">
      <c r="B14" s="11">
        <v>37000</v>
      </c>
      <c r="C14" s="20" t="s">
        <v>18</v>
      </c>
      <c r="D14" s="20" t="s">
        <v>12</v>
      </c>
      <c r="U14" s="28" t="s">
        <v>136</v>
      </c>
      <c r="V14" s="28">
        <v>69500</v>
      </c>
      <c r="W14" s="28">
        <v>116000</v>
      </c>
      <c r="X14" s="28">
        <v>92750</v>
      </c>
    </row>
    <row r="15" spans="1:24" x14ac:dyDescent="0.3">
      <c r="B15" s="11">
        <v>25000</v>
      </c>
      <c r="C15" s="20" t="s">
        <v>6</v>
      </c>
      <c r="D15" s="20" t="s">
        <v>12</v>
      </c>
      <c r="U15" s="28" t="s">
        <v>137</v>
      </c>
      <c r="V15" s="28">
        <v>264500000</v>
      </c>
      <c r="W15" s="28">
        <v>10952000000</v>
      </c>
      <c r="X15" s="28">
        <v>4459583333.333333</v>
      </c>
    </row>
    <row r="16" spans="1:24" x14ac:dyDescent="0.3">
      <c r="B16" s="11">
        <v>55000</v>
      </c>
      <c r="C16" s="20" t="s">
        <v>18</v>
      </c>
      <c r="D16" s="20" t="s">
        <v>12</v>
      </c>
      <c r="U16" s="28"/>
      <c r="V16" s="28"/>
      <c r="W16" s="28"/>
      <c r="X16" s="28"/>
    </row>
    <row r="17" spans="2:26" ht="15" thickBot="1" x14ac:dyDescent="0.35">
      <c r="B17" s="11">
        <v>33000</v>
      </c>
      <c r="C17" s="20" t="s">
        <v>17</v>
      </c>
      <c r="D17" s="20" t="s">
        <v>12</v>
      </c>
      <c r="U17" s="55" t="s">
        <v>18</v>
      </c>
      <c r="V17" s="55"/>
      <c r="W17" s="55"/>
      <c r="X17" s="55"/>
    </row>
    <row r="18" spans="2:26" x14ac:dyDescent="0.3">
      <c r="B18" s="11">
        <v>81000</v>
      </c>
      <c r="C18" s="20" t="s">
        <v>17</v>
      </c>
      <c r="D18" s="20" t="s">
        <v>11</v>
      </c>
      <c r="U18" s="28" t="s">
        <v>46</v>
      </c>
      <c r="V18" s="28">
        <v>2</v>
      </c>
      <c r="W18" s="28">
        <v>2</v>
      </c>
      <c r="X18" s="28">
        <v>4</v>
      </c>
    </row>
    <row r="19" spans="2:26" x14ac:dyDescent="0.3">
      <c r="B19" s="11">
        <v>46000</v>
      </c>
      <c r="C19" s="20" t="s">
        <v>17</v>
      </c>
      <c r="D19" s="20" t="s">
        <v>12</v>
      </c>
      <c r="U19" s="28" t="s">
        <v>45</v>
      </c>
      <c r="V19" s="28">
        <v>136000</v>
      </c>
      <c r="W19" s="28">
        <v>140000</v>
      </c>
      <c r="X19" s="28">
        <v>276000</v>
      </c>
    </row>
    <row r="20" spans="2:26" x14ac:dyDescent="0.3">
      <c r="B20" s="11">
        <v>52000</v>
      </c>
      <c r="C20" s="20" t="s">
        <v>18</v>
      </c>
      <c r="D20" s="20" t="s">
        <v>11</v>
      </c>
      <c r="U20" s="28" t="s">
        <v>136</v>
      </c>
      <c r="V20" s="28">
        <v>68000</v>
      </c>
      <c r="W20" s="28">
        <v>70000</v>
      </c>
      <c r="X20" s="28">
        <v>69000</v>
      </c>
    </row>
    <row r="21" spans="2:26" x14ac:dyDescent="0.3">
      <c r="B21" s="11">
        <v>76000</v>
      </c>
      <c r="C21" s="20" t="s">
        <v>18</v>
      </c>
      <c r="D21" s="20" t="s">
        <v>11</v>
      </c>
      <c r="U21" s="28" t="s">
        <v>137</v>
      </c>
      <c r="V21" s="28">
        <v>128000000</v>
      </c>
      <c r="W21" s="28">
        <v>2178000000</v>
      </c>
      <c r="X21" s="28">
        <v>770000000</v>
      </c>
    </row>
    <row r="22" spans="2:26" x14ac:dyDescent="0.3">
      <c r="B22" s="11">
        <v>31500</v>
      </c>
      <c r="C22" s="20" t="s">
        <v>6</v>
      </c>
      <c r="D22" s="20" t="s">
        <v>11</v>
      </c>
      <c r="U22" s="28"/>
      <c r="V22" s="28"/>
      <c r="W22" s="28"/>
      <c r="X22" s="28"/>
    </row>
    <row r="23" spans="2:26" ht="15" thickBot="1" x14ac:dyDescent="0.35">
      <c r="B23" s="11">
        <v>65000</v>
      </c>
      <c r="C23" s="20" t="s">
        <v>6</v>
      </c>
      <c r="D23" s="20" t="s">
        <v>11</v>
      </c>
      <c r="U23" s="55" t="s">
        <v>13</v>
      </c>
      <c r="V23" s="55"/>
      <c r="W23" s="55"/>
      <c r="X23" s="55"/>
    </row>
    <row r="24" spans="2:26" x14ac:dyDescent="0.3">
      <c r="B24" s="11">
        <v>45000</v>
      </c>
      <c r="C24" s="20" t="s">
        <v>18</v>
      </c>
      <c r="D24" s="20" t="s">
        <v>12</v>
      </c>
      <c r="U24" s="28" t="s">
        <v>46</v>
      </c>
      <c r="V24" s="28">
        <v>2</v>
      </c>
      <c r="W24" s="28">
        <v>2</v>
      </c>
      <c r="X24" s="28">
        <v>4</v>
      </c>
    </row>
    <row r="25" spans="2:26" x14ac:dyDescent="0.3">
      <c r="B25" s="11">
        <v>46000</v>
      </c>
      <c r="C25" s="20" t="s">
        <v>17</v>
      </c>
      <c r="D25" s="20" t="s">
        <v>12</v>
      </c>
      <c r="U25" s="28" t="s">
        <v>45</v>
      </c>
      <c r="V25" s="28">
        <v>58700</v>
      </c>
      <c r="W25" s="28">
        <v>85400</v>
      </c>
      <c r="X25" s="28">
        <v>144100</v>
      </c>
    </row>
    <row r="26" spans="2:26" x14ac:dyDescent="0.3">
      <c r="B26" s="11">
        <v>60000</v>
      </c>
      <c r="C26" s="20" t="s">
        <v>18</v>
      </c>
      <c r="D26" s="20" t="s">
        <v>11</v>
      </c>
      <c r="U26" s="28" t="s">
        <v>136</v>
      </c>
      <c r="V26" s="28">
        <v>29350</v>
      </c>
      <c r="W26" s="28">
        <v>42700</v>
      </c>
      <c r="X26" s="28">
        <v>36025</v>
      </c>
    </row>
    <row r="27" spans="2:26" x14ac:dyDescent="0.3">
      <c r="B27" s="11">
        <v>62000</v>
      </c>
      <c r="C27" s="20" t="s">
        <v>17</v>
      </c>
      <c r="D27" s="20" t="s">
        <v>11</v>
      </c>
      <c r="U27" s="28" t="s">
        <v>137</v>
      </c>
      <c r="V27" s="28">
        <v>26645000</v>
      </c>
      <c r="W27" s="28">
        <v>28880000</v>
      </c>
      <c r="X27" s="28">
        <v>77915833.333333328</v>
      </c>
    </row>
    <row r="28" spans="2:26" x14ac:dyDescent="0.3">
      <c r="B28" s="11">
        <v>190000</v>
      </c>
      <c r="C28" s="20" t="s">
        <v>17</v>
      </c>
      <c r="D28" s="20" t="s">
        <v>12</v>
      </c>
      <c r="U28" s="28"/>
      <c r="V28" s="28"/>
      <c r="W28" s="28"/>
      <c r="X28" s="28"/>
    </row>
    <row r="29" spans="2:26" ht="15" thickBot="1" x14ac:dyDescent="0.35">
      <c r="B29" s="11">
        <v>52700</v>
      </c>
      <c r="C29" s="20" t="s">
        <v>6</v>
      </c>
      <c r="D29" s="20" t="s">
        <v>11</v>
      </c>
      <c r="U29" s="55" t="s">
        <v>64</v>
      </c>
      <c r="V29" s="55"/>
      <c r="W29" s="55"/>
      <c r="X29" s="55"/>
      <c r="Y29" s="55"/>
      <c r="Z29" s="55"/>
    </row>
    <row r="30" spans="2:26" x14ac:dyDescent="0.3">
      <c r="B30" s="11">
        <v>55000</v>
      </c>
      <c r="C30" s="20" t="s">
        <v>18</v>
      </c>
      <c r="D30" s="20" t="s">
        <v>11</v>
      </c>
      <c r="U30" s="28" t="s">
        <v>46</v>
      </c>
      <c r="V30" s="28">
        <v>8</v>
      </c>
      <c r="W30" s="28">
        <v>8</v>
      </c>
      <c r="X30" s="28"/>
      <c r="Y30" s="28"/>
      <c r="Z30" s="28"/>
    </row>
    <row r="31" spans="2:26" x14ac:dyDescent="0.3">
      <c r="B31" s="11">
        <v>20500</v>
      </c>
      <c r="C31" s="20" t="s">
        <v>17</v>
      </c>
      <c r="D31" s="20" t="s">
        <v>12</v>
      </c>
      <c r="U31" s="28" t="s">
        <v>45</v>
      </c>
      <c r="V31" s="28">
        <v>395700</v>
      </c>
      <c r="W31" s="28">
        <v>510400</v>
      </c>
      <c r="X31" s="28"/>
      <c r="Y31" s="28"/>
      <c r="Z31" s="28"/>
    </row>
    <row r="32" spans="2:26" x14ac:dyDescent="0.3">
      <c r="B32" s="11">
        <v>40500</v>
      </c>
      <c r="C32" s="20" t="s">
        <v>6</v>
      </c>
      <c r="D32" s="20" t="s">
        <v>11</v>
      </c>
      <c r="U32" s="28" t="s">
        <v>136</v>
      </c>
      <c r="V32" s="28">
        <v>49462.5</v>
      </c>
      <c r="W32" s="28">
        <v>63800</v>
      </c>
      <c r="X32" s="28"/>
      <c r="Y32" s="28"/>
      <c r="Z32" s="28"/>
    </row>
    <row r="33" spans="2:27" x14ac:dyDescent="0.3">
      <c r="B33" s="11">
        <v>58000</v>
      </c>
      <c r="C33" s="20" t="s">
        <v>17</v>
      </c>
      <c r="D33" s="20" t="s">
        <v>11</v>
      </c>
      <c r="U33" s="28" t="s">
        <v>137</v>
      </c>
      <c r="V33" s="28">
        <v>487525535.71428573</v>
      </c>
      <c r="W33" s="28">
        <v>3194705714.2857141</v>
      </c>
      <c r="X33" s="28"/>
      <c r="Y33" s="28"/>
      <c r="Z33" s="28"/>
    </row>
    <row r="34" spans="2:27" x14ac:dyDescent="0.3">
      <c r="B34" s="11">
        <v>33000</v>
      </c>
      <c r="C34" s="20" t="s">
        <v>13</v>
      </c>
      <c r="D34" s="20" t="s">
        <v>12</v>
      </c>
      <c r="U34" s="28"/>
      <c r="V34" s="28"/>
      <c r="W34" s="28"/>
      <c r="X34" s="28"/>
      <c r="Y34" s="28"/>
      <c r="Z34" s="28"/>
    </row>
    <row r="35" spans="2:27" x14ac:dyDescent="0.3">
      <c r="B35" s="11">
        <v>87000</v>
      </c>
      <c r="C35" s="20" t="s">
        <v>18</v>
      </c>
      <c r="D35" s="20" t="s">
        <v>11</v>
      </c>
    </row>
    <row r="36" spans="2:27" ht="15" thickBot="1" x14ac:dyDescent="0.35">
      <c r="B36" s="11">
        <v>19000</v>
      </c>
      <c r="C36" s="20" t="s">
        <v>13</v>
      </c>
      <c r="D36" s="20" t="s">
        <v>12</v>
      </c>
      <c r="U36" t="s">
        <v>61</v>
      </c>
    </row>
    <row r="37" spans="2:27" x14ac:dyDescent="0.3">
      <c r="B37" s="11">
        <v>28000</v>
      </c>
      <c r="C37" s="20" t="s">
        <v>6</v>
      </c>
      <c r="D37" s="20" t="s">
        <v>12</v>
      </c>
      <c r="U37" s="30" t="s">
        <v>138</v>
      </c>
      <c r="V37" s="30" t="s">
        <v>67</v>
      </c>
      <c r="W37" s="30" t="s">
        <v>66</v>
      </c>
      <c r="X37" s="30" t="s">
        <v>68</v>
      </c>
      <c r="Y37" s="30" t="s">
        <v>69</v>
      </c>
      <c r="Z37" s="30" t="s">
        <v>73</v>
      </c>
      <c r="AA37" s="30" t="s">
        <v>139</v>
      </c>
    </row>
    <row r="38" spans="2:27" x14ac:dyDescent="0.3">
      <c r="B38" s="11">
        <v>46000</v>
      </c>
      <c r="C38" s="20" t="s">
        <v>17</v>
      </c>
      <c r="D38" s="20" t="s">
        <v>12</v>
      </c>
      <c r="U38" s="28" t="s">
        <v>140</v>
      </c>
      <c r="V38" s="28">
        <v>10638126875</v>
      </c>
      <c r="W38" s="28">
        <v>3</v>
      </c>
      <c r="X38" s="28">
        <v>3546042291.6666665</v>
      </c>
      <c r="Y38" s="28">
        <v>2.0866705528922038</v>
      </c>
      <c r="Z38" s="62">
        <v>0.18039449952995731</v>
      </c>
      <c r="AA38" s="28">
        <v>2.9237962883137789</v>
      </c>
    </row>
    <row r="39" spans="2:27" x14ac:dyDescent="0.3">
      <c r="B39" s="11">
        <v>38000</v>
      </c>
      <c r="C39" s="20" t="s">
        <v>13</v>
      </c>
      <c r="D39" s="20" t="s">
        <v>12</v>
      </c>
      <c r="U39" s="28" t="s">
        <v>141</v>
      </c>
      <c r="V39" s="28">
        <v>822255625</v>
      </c>
      <c r="W39" s="28">
        <v>1</v>
      </c>
      <c r="X39" s="28">
        <v>822255625</v>
      </c>
      <c r="Y39" s="28">
        <v>0.48385677849066111</v>
      </c>
      <c r="Z39" s="62">
        <v>0.50638061245917454</v>
      </c>
      <c r="AA39" s="28">
        <v>3.4579189038850133</v>
      </c>
    </row>
    <row r="40" spans="2:27" x14ac:dyDescent="0.3">
      <c r="B40" s="11">
        <v>33000</v>
      </c>
      <c r="C40" s="20" t="s">
        <v>17</v>
      </c>
      <c r="D40" s="20" t="s">
        <v>12</v>
      </c>
      <c r="U40" s="28" t="s">
        <v>142</v>
      </c>
      <c r="V40" s="28">
        <v>1542466875</v>
      </c>
      <c r="W40" s="28">
        <v>3</v>
      </c>
      <c r="X40" s="28">
        <v>514155625</v>
      </c>
      <c r="Y40" s="28">
        <v>0.30255516264221655</v>
      </c>
      <c r="Z40" s="62">
        <v>0.82291915700590323</v>
      </c>
      <c r="AA40" s="28">
        <v>2.9237962883137789</v>
      </c>
    </row>
    <row r="41" spans="2:27" x14ac:dyDescent="0.3">
      <c r="B41" s="11">
        <v>64000</v>
      </c>
      <c r="C41" s="20" t="s">
        <v>18</v>
      </c>
      <c r="D41" s="20" t="s">
        <v>11</v>
      </c>
      <c r="U41" s="28" t="s">
        <v>143</v>
      </c>
      <c r="V41" s="28">
        <v>13595025000</v>
      </c>
      <c r="W41" s="28">
        <v>8</v>
      </c>
      <c r="X41" s="28">
        <v>1699378125</v>
      </c>
      <c r="Y41" s="28"/>
      <c r="Z41" s="28"/>
      <c r="AA41" s="28"/>
    </row>
    <row r="42" spans="2:27" x14ac:dyDescent="0.3">
      <c r="B42" s="11">
        <v>26700</v>
      </c>
      <c r="C42" s="20" t="s">
        <v>6</v>
      </c>
      <c r="D42" s="20" t="s">
        <v>12</v>
      </c>
      <c r="U42" s="28"/>
      <c r="V42" s="28"/>
      <c r="W42" s="28"/>
      <c r="X42" s="28"/>
      <c r="Y42" s="28"/>
      <c r="Z42" s="28"/>
      <c r="AA42" s="28"/>
    </row>
    <row r="43" spans="2:27" ht="15" thickBot="1" x14ac:dyDescent="0.35">
      <c r="B43" s="11">
        <v>92000</v>
      </c>
      <c r="C43" s="20" t="s">
        <v>18</v>
      </c>
      <c r="D43" s="20" t="s">
        <v>12</v>
      </c>
      <c r="U43" s="29" t="s">
        <v>64</v>
      </c>
      <c r="V43" s="29">
        <v>26597874375</v>
      </c>
      <c r="W43" s="29">
        <v>15</v>
      </c>
      <c r="X43" s="29"/>
      <c r="Y43" s="29"/>
      <c r="Z43" s="29"/>
      <c r="AA43" s="29"/>
    </row>
    <row r="44" spans="2:27" x14ac:dyDescent="0.3">
      <c r="B44" s="11">
        <v>36000</v>
      </c>
      <c r="C44" s="20" t="s">
        <v>17</v>
      </c>
      <c r="D44" s="20" t="s">
        <v>12</v>
      </c>
    </row>
    <row r="45" spans="2:27" x14ac:dyDescent="0.3">
      <c r="B45" s="11">
        <v>103000</v>
      </c>
      <c r="C45" s="20" t="s">
        <v>18</v>
      </c>
      <c r="D45" s="20" t="s">
        <v>12</v>
      </c>
    </row>
    <row r="46" spans="2:27" x14ac:dyDescent="0.3">
      <c r="B46" s="11">
        <v>38900</v>
      </c>
      <c r="C46" s="20" t="s">
        <v>13</v>
      </c>
      <c r="D46" s="20" t="s">
        <v>12</v>
      </c>
      <c r="U46" t="s">
        <v>125</v>
      </c>
      <c r="V46" t="s">
        <v>111</v>
      </c>
      <c r="W46" s="38">
        <f>Z40</f>
        <v>0.82291915700590323</v>
      </c>
      <c r="X46" s="64" t="s">
        <v>90</v>
      </c>
      <c r="Y46" s="56" t="s">
        <v>147</v>
      </c>
      <c r="Z46" s="40"/>
      <c r="AA46" s="40"/>
    </row>
    <row r="47" spans="2:27" x14ac:dyDescent="0.3">
      <c r="B47" s="11">
        <v>46500</v>
      </c>
      <c r="C47" s="20" t="s">
        <v>13</v>
      </c>
      <c r="D47" s="20" t="s">
        <v>12</v>
      </c>
      <c r="U47" t="s">
        <v>145</v>
      </c>
      <c r="V47" t="s">
        <v>111</v>
      </c>
      <c r="W47" s="38">
        <f>Z38</f>
        <v>0.18039449952995731</v>
      </c>
      <c r="X47" s="64" t="s">
        <v>90</v>
      </c>
      <c r="Y47" s="56" t="s">
        <v>147</v>
      </c>
      <c r="Z47" s="40"/>
      <c r="AA47" s="40"/>
    </row>
    <row r="48" spans="2:27" x14ac:dyDescent="0.3">
      <c r="B48" s="11">
        <v>25500</v>
      </c>
      <c r="C48" s="20" t="s">
        <v>13</v>
      </c>
      <c r="D48" s="20" t="s">
        <v>12</v>
      </c>
      <c r="U48" t="s">
        <v>146</v>
      </c>
      <c r="V48" t="s">
        <v>111</v>
      </c>
      <c r="W48" s="38">
        <f>Z39</f>
        <v>0.50638061245917454</v>
      </c>
      <c r="X48" s="64" t="s">
        <v>90</v>
      </c>
      <c r="Y48" s="56" t="s">
        <v>147</v>
      </c>
      <c r="Z48" s="40"/>
      <c r="AA48" s="40"/>
    </row>
    <row r="49" spans="2:4" x14ac:dyDescent="0.3">
      <c r="B49" s="11">
        <v>25700</v>
      </c>
      <c r="C49" s="18" t="s">
        <v>13</v>
      </c>
      <c r="D49" s="18" t="s">
        <v>11</v>
      </c>
    </row>
    <row r="50" spans="2:4" x14ac:dyDescent="0.3">
      <c r="B50" s="12">
        <v>76000</v>
      </c>
      <c r="C50" s="20" t="s">
        <v>13</v>
      </c>
      <c r="D50" s="20" t="s">
        <v>12</v>
      </c>
    </row>
    <row r="51" spans="2:4" x14ac:dyDescent="0.3">
      <c r="B51" s="12">
        <v>41500</v>
      </c>
      <c r="C51" s="20" t="s">
        <v>13</v>
      </c>
      <c r="D51" s="20" t="s">
        <v>12</v>
      </c>
    </row>
    <row r="52" spans="2:4" x14ac:dyDescent="0.3">
      <c r="B52" s="12">
        <v>33000</v>
      </c>
      <c r="C52" s="20" t="s">
        <v>13</v>
      </c>
      <c r="D52" s="20" t="s">
        <v>11</v>
      </c>
    </row>
    <row r="53" spans="2:4" x14ac:dyDescent="0.3">
      <c r="B53" s="12">
        <v>178000</v>
      </c>
      <c r="C53" s="20" t="s">
        <v>18</v>
      </c>
      <c r="D53" s="20" t="s">
        <v>12</v>
      </c>
    </row>
    <row r="54" spans="2:4" x14ac:dyDescent="0.3">
      <c r="B54" s="12">
        <v>40000</v>
      </c>
      <c r="C54" s="20" t="s">
        <v>18</v>
      </c>
      <c r="D54" s="20" t="s">
        <v>12</v>
      </c>
    </row>
    <row r="55" spans="2:4" x14ac:dyDescent="0.3">
      <c r="B55" s="12">
        <v>43100</v>
      </c>
      <c r="C55" s="20" t="s">
        <v>18</v>
      </c>
      <c r="D55" s="20" t="s">
        <v>11</v>
      </c>
    </row>
    <row r="56" spans="2:4" x14ac:dyDescent="0.3">
      <c r="B56" s="13">
        <v>22900</v>
      </c>
      <c r="C56" s="22" t="s">
        <v>17</v>
      </c>
      <c r="D56" s="22" t="s">
        <v>12</v>
      </c>
    </row>
  </sheetData>
  <mergeCells count="12">
    <mergeCell ref="Y47:AA47"/>
    <mergeCell ref="Y48:AA48"/>
    <mergeCell ref="M1:R1"/>
    <mergeCell ref="M9:S9"/>
    <mergeCell ref="M10:S10"/>
    <mergeCell ref="M12:Q12"/>
    <mergeCell ref="M13:R13"/>
    <mergeCell ref="Y46:AA46"/>
    <mergeCell ref="M3:S3"/>
    <mergeCell ref="M4:S4"/>
    <mergeCell ref="M6:S6"/>
    <mergeCell ref="M7:S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Description</vt:lpstr>
      <vt:lpstr>Housing</vt:lpstr>
      <vt:lpstr>ex 1</vt:lpstr>
      <vt:lpstr>ex 2</vt:lpstr>
      <vt:lpstr>ex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Olmas Isakov</dc:creator>
  <cp:lastModifiedBy>Пользователь</cp:lastModifiedBy>
  <dcterms:created xsi:type="dcterms:W3CDTF">2020-01-28T06:35:58Z</dcterms:created>
  <dcterms:modified xsi:type="dcterms:W3CDTF">2020-03-18T14:29:50Z</dcterms:modified>
</cp:coreProperties>
</file>