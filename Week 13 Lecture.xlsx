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6275" windowHeight="7485"/>
  </bookViews>
  <sheets>
    <sheet name="Formatting" sheetId="3" r:id="rId1"/>
    <sheet name="Formulas" sheetId="2" r:id="rId2"/>
    <sheet name="Vlookup" sheetId="4" r:id="rId3"/>
    <sheet name="Text to Columns" sheetId="5" r:id="rId4"/>
    <sheet name="Concatenate" sheetId="6" r:id="rId5"/>
  </sheets>
  <definedNames>
    <definedName name="cement" localSheetId="0">Formatting!$B$7:$G$12</definedName>
  </definedNames>
  <calcPr calcId="145621"/>
</workbook>
</file>

<file path=xl/calcChain.xml><?xml version="1.0" encoding="utf-8"?>
<calcChain xmlns="http://schemas.openxmlformats.org/spreadsheetml/2006/main">
  <c r="C119" i="2" l="1"/>
  <c r="C120" i="2" s="1"/>
  <c r="E42" i="2"/>
  <c r="D42" i="2"/>
  <c r="C42" i="2"/>
</calcChain>
</file>

<file path=xl/connections.xml><?xml version="1.0" encoding="utf-8"?>
<connections xmlns="http://schemas.openxmlformats.org/spreadsheetml/2006/main">
  <connection id="1" name="Connection" type="4" refreshedVersion="1" background="1" saveData="1">
    <webPr sourceData="1" parsePre="1" consecutive="1" xl2000="1" url="http://www.stat.ncsu.edu/sas/sicl/data/cement.dat" htmlTables="1"/>
  </connection>
</connections>
</file>

<file path=xl/sharedStrings.xml><?xml version="1.0" encoding="utf-8"?>
<sst xmlns="http://schemas.openxmlformats.org/spreadsheetml/2006/main" count="161" uniqueCount="142">
  <si>
    <t>Practice: Formulas</t>
  </si>
  <si>
    <t>Quarter 1</t>
  </si>
  <si>
    <t>Quarter 2</t>
  </si>
  <si>
    <t>Quarter 3</t>
  </si>
  <si>
    <t>March</t>
  </si>
  <si>
    <t>April</t>
  </si>
  <si>
    <t>May</t>
  </si>
  <si>
    <t>Total:</t>
  </si>
  <si>
    <t>Tax rate:</t>
  </si>
  <si>
    <t>Tax:</t>
  </si>
  <si>
    <t>Example</t>
  </si>
  <si>
    <t>Sales</t>
  </si>
  <si>
    <t>June</t>
  </si>
  <si>
    <t>July</t>
  </si>
  <si>
    <t>August</t>
  </si>
  <si>
    <t>Sum:</t>
  </si>
  <si>
    <t>Average:</t>
  </si>
  <si>
    <t>Min:</t>
  </si>
  <si>
    <t>Max:</t>
  </si>
  <si>
    <t xml:space="preserve">Today's date: </t>
  </si>
  <si>
    <t>Sales ($ millions)</t>
  </si>
  <si>
    <t>Quarter 4</t>
  </si>
  <si>
    <t xml:space="preserve">Which did better? </t>
  </si>
  <si>
    <t xml:space="preserve">Met $600M Q goal? </t>
  </si>
  <si>
    <t xml:space="preserve">Q1 vs. Q2: </t>
  </si>
  <si>
    <t>Sale:</t>
  </si>
  <si>
    <t>Exercise 1-Copying a Formula Using a Relative Reference</t>
  </si>
  <si>
    <t>Exercise 2-Copying a Formula Using an Absolute Reference</t>
  </si>
  <si>
    <t>Exercise 4-Using Excel Logical Functions</t>
  </si>
  <si>
    <t>Exercise 5-Using Excel's Formula Auditing Tools</t>
  </si>
  <si>
    <t>Practice: Formatting</t>
  </si>
  <si>
    <t>Tensile Strength of Cement*</t>
  </si>
  <si>
    <t xml:space="preserve"> </t>
  </si>
  <si>
    <t>* From http://www.stat.ncsu.edu/sas/sicl/data</t>
  </si>
  <si>
    <t xml:space="preserve">  Currency</t>
  </si>
  <si>
    <t xml:space="preserve">  Percentage</t>
  </si>
  <si>
    <t xml:space="preserve">  Thousands comma separator</t>
  </si>
  <si>
    <t xml:space="preserve">  Increase decimals</t>
  </si>
  <si>
    <t xml:space="preserve">  Decrease decimals</t>
  </si>
  <si>
    <t>Exercise 2 - Apply Formatting</t>
  </si>
  <si>
    <t>Exercise 1 - Merge and Center</t>
  </si>
  <si>
    <t xml:space="preserve">Exercise 3 - Apply Transpose </t>
  </si>
  <si>
    <t>Year</t>
  </si>
  <si>
    <t>Exercise 3-Copying a Formula Using Mixed Reference</t>
  </si>
  <si>
    <t>Labor (hours)</t>
  </si>
  <si>
    <t>Production Cost Scenarios</t>
  </si>
  <si>
    <t>Parts (units)</t>
  </si>
  <si>
    <t>Labor per hour</t>
  </si>
  <si>
    <t>Part per unit</t>
  </si>
  <si>
    <t>Total Cost</t>
  </si>
  <si>
    <t>= Labor *10 + Parts*2</t>
  </si>
  <si>
    <t>Labor\Parts</t>
  </si>
  <si>
    <t>Fill in the table for total production cost for different scenarios</t>
  </si>
  <si>
    <t>Exercise 4-Use Built-in Functions</t>
  </si>
  <si>
    <t>St dev:</t>
  </si>
  <si>
    <t>Product ID</t>
  </si>
  <si>
    <t>Available Stock</t>
  </si>
  <si>
    <t>Price</t>
  </si>
  <si>
    <t>You write a VLOOKUP function which looks like this:</t>
  </si>
  <si>
    <t>Product</t>
  </si>
  <si>
    <t>Price formula</t>
  </si>
  <si>
    <t>=VLOOKUP(B19,$A$2:$C$13,3,0)</t>
  </si>
  <si>
    <t>=VLOOKUP(B19,$A$2:$C$13,2,0)</t>
  </si>
  <si>
    <t>"Month", "1958", "1959", "1960"</t>
  </si>
  <si>
    <t>"JAN",  340,  360,  417</t>
  </si>
  <si>
    <t>"FEB",  318,  342,  391</t>
  </si>
  <si>
    <t>"MAR",  362,  406,  419</t>
  </si>
  <si>
    <t>"APR",  348,  396,  461</t>
  </si>
  <si>
    <t>"MAY",  363,  420,  472</t>
  </si>
  <si>
    <t>"JUN",  435,  472,  535</t>
  </si>
  <si>
    <t>"JUL",  491,  548,  622</t>
  </si>
  <si>
    <t>"AUG",  505,  559,  606</t>
  </si>
  <si>
    <t>"SEP",  404,  463,  508</t>
  </si>
  <si>
    <t>"OCT",  359,  407,  461</t>
  </si>
  <si>
    <t>"NOV",  310,  362,  390</t>
  </si>
  <si>
    <t>"DEC",  337,  405,  432</t>
  </si>
  <si>
    <t>Month</t>
  </si>
  <si>
    <t>Exercise 1 - Split the data into separate columns</t>
  </si>
  <si>
    <t xml:space="preserve"> 1 - "Fruit of the Loom Girl's Socks" -  7.97 - 0.60 -  8.57</t>
  </si>
  <si>
    <t xml:space="preserve"> 2 - "Rawlings Little League Baseball" - 2.97 - 0.22 -  3.19</t>
  </si>
  <si>
    <t xml:space="preserve"> 3 - "Secret Antiperspirant" -           1.29 - 0.10 -  1.39</t>
  </si>
  <si>
    <t xml:space="preserve"> 4 - "Deadpool DVD" -                   14.96 - 1.12 - 16.08</t>
  </si>
  <si>
    <t xml:space="preserve"> 5 - "Maxwell House Coffee 28 oz" -      7.28 - 0.55 -  7.83</t>
  </si>
  <si>
    <t xml:space="preserve"> 9 - "Bertoli Alfredo Sauce" -           2.12 - 0.16 -  2.28</t>
  </si>
  <si>
    <t xml:space="preserve"> 6 - "Banana Boat Sunscreen,  8 oz" -     6.68 - 0.50 -  7.18</t>
  </si>
  <si>
    <t xml:space="preserve"> 7 - "Wrench Set, 18 pieces" -          10.00 - 0.75 - 10.75</t>
  </si>
  <si>
    <t>10 - "Large Paperclips, 10 boxes" -      6.19 - 0.46 -  6.65</t>
  </si>
  <si>
    <t xml:space="preserve"> 8 - "M and M, 42 oz" -                  8.98 - 0.67 -  9.65</t>
  </si>
  <si>
    <t xml:space="preserve">Index </t>
  </si>
  <si>
    <t>Index - Item - Cost - Tax - Total</t>
  </si>
  <si>
    <t xml:space="preserve"> Item </t>
  </si>
  <si>
    <t xml:space="preserve"> Cost </t>
  </si>
  <si>
    <t xml:space="preserve"> Tax </t>
  </si>
  <si>
    <t xml:space="preserve"> Total</t>
  </si>
  <si>
    <t> 00005379 </t>
  </si>
  <si>
    <t> 00005663 </t>
  </si>
  <si>
    <t> 00005854 </t>
  </si>
  <si>
    <t> 00006035 </t>
  </si>
  <si>
    <t> 00006043 </t>
  </si>
  <si>
    <t> 00006070 </t>
  </si>
  <si>
    <t> 00006096 </t>
  </si>
  <si>
    <t> 00006119 </t>
  </si>
  <si>
    <t> 00006136 </t>
  </si>
  <si>
    <t> 00006151 </t>
  </si>
  <si>
    <t> 00006153 </t>
  </si>
  <si>
    <t> 00006287 </t>
  </si>
  <si>
    <t> 00006298 </t>
  </si>
  <si>
    <t> 00006313 </t>
  </si>
  <si>
    <t> 00006327 </t>
  </si>
  <si>
    <t> 00006333 </t>
  </si>
  <si>
    <t> 00006389 </t>
  </si>
  <si>
    <t> 00006413 </t>
  </si>
  <si>
    <t> 00006414 </t>
  </si>
  <si>
    <t> 00006433 </t>
  </si>
  <si>
    <t> 00006499 </t>
  </si>
  <si>
    <t> 00006506 </t>
  </si>
  <si>
    <t> 00006610 </t>
  </si>
  <si>
    <t> 00006615 </t>
  </si>
  <si>
    <t> 00006630 </t>
  </si>
  <si>
    <t> 00006636 </t>
  </si>
  <si>
    <t> 00006640 </t>
  </si>
  <si>
    <t> 00006670 </t>
  </si>
  <si>
    <t> 00006691 </t>
  </si>
  <si>
    <t> 00006703 </t>
  </si>
  <si>
    <t> 00006704 </t>
  </si>
  <si>
    <t> 00006711 </t>
  </si>
  <si>
    <t> 00006712 </t>
  </si>
  <si>
    <t> 00006714 </t>
  </si>
  <si>
    <t> 00006728 </t>
  </si>
  <si>
    <t>#</t>
  </si>
  <si>
    <t>Student ID</t>
  </si>
  <si>
    <t>Get rid of the first 4 zeros of the student ID.</t>
  </si>
  <si>
    <t>Date</t>
  </si>
  <si>
    <t>Date/Month/Year</t>
  </si>
  <si>
    <t>=CONCATENATE(A3,"/",B3,"/",C3)</t>
  </si>
  <si>
    <t xml:space="preserve">Exercise 1 </t>
  </si>
  <si>
    <t xml:space="preserve"> Merge the data into single column</t>
  </si>
  <si>
    <t>Data -&gt; Text to Columns -&gt; Select Delimited Option -&gt; Tick Comma</t>
  </si>
  <si>
    <t>Data -&gt; Text to Columns -&gt; Select Delimited Option -&gt; Other: -</t>
  </si>
  <si>
    <t>Data -&gt; Text to Columns -&gt; Select Fixed Width -&gt; Separate first 4 zeros</t>
  </si>
  <si>
    <t>Is Q1 or Q2 lower than Q3?</t>
  </si>
  <si>
    <t>Are both Q1 and Q2 lower than Q3?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</si>
</sst>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m/d/yy;@"/>
    <numFmt numFmtId="165" formatCode="_(&quot;$&quot;* #,##0_);_(&quot;$&quot;* \(#,##0\);_(&quot;$&quot;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indexed="9"/>
      <name val="Trebuchet MS"/>
      <family val="2"/>
    </font>
    <font>
      <b/>
      <sz val="14"/>
      <color indexed="9"/>
      <name val="Arial"/>
      <family val="2"/>
    </font>
    <font>
      <b/>
      <sz val="10"/>
      <color indexed="5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0"/>
      <color indexed="21"/>
      <name val="Arial"/>
      <family val="2"/>
    </font>
    <font>
      <b/>
      <sz val="10"/>
      <color indexed="21"/>
      <name val="Arial"/>
      <family val="2"/>
    </font>
    <font>
      <sz val="8"/>
      <name val="Arial"/>
      <family val="2"/>
      <charset val="204"/>
    </font>
    <font>
      <sz val="10"/>
      <color indexed="21"/>
      <name val="Arial"/>
      <family val="2"/>
      <charset val="204"/>
    </font>
    <font>
      <b/>
      <sz val="11"/>
      <color theme="1"/>
      <name val="Calibri"/>
      <family val="2"/>
      <scheme val="minor"/>
    </font>
    <font>
      <sz val="10"/>
      <color rgb="FF000000"/>
      <name val="Arial Unicode MS"/>
      <family val="2"/>
      <charset val="204"/>
    </font>
    <font>
      <sz val="9"/>
      <color rgb="FF000000"/>
      <name val="Arial"/>
      <family val="2"/>
      <charset val="204"/>
    </font>
    <font>
      <b/>
      <sz val="10"/>
      <color rgb="FF000000"/>
      <name val="Arial Unicode MS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4">
    <xf numFmtId="0" fontId="0" fillId="0" borderId="0" xfId="0"/>
    <xf numFmtId="0" fontId="0" fillId="0" borderId="3" xfId="0" applyBorder="1"/>
    <xf numFmtId="0" fontId="0" fillId="0" borderId="0" xfId="0" applyBorder="1"/>
    <xf numFmtId="0" fontId="0" fillId="0" borderId="8" xfId="0" applyBorder="1"/>
    <xf numFmtId="0" fontId="2" fillId="0" borderId="1" xfId="0" applyFont="1" applyBorder="1" applyAlignment="1">
      <alignment horizont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6" fontId="0" fillId="0" borderId="0" xfId="0" applyNumberFormat="1"/>
    <xf numFmtId="6" fontId="0" fillId="0" borderId="14" xfId="0" applyNumberFormat="1" applyBorder="1"/>
    <xf numFmtId="0" fontId="6" fillId="0" borderId="0" xfId="0" applyFont="1"/>
    <xf numFmtId="9" fontId="6" fillId="0" borderId="0" xfId="0" applyNumberFormat="1" applyFont="1" applyAlignment="1">
      <alignment horizontal="center"/>
    </xf>
    <xf numFmtId="0" fontId="8" fillId="0" borderId="0" xfId="0" applyFont="1"/>
    <xf numFmtId="0" fontId="0" fillId="4" borderId="15" xfId="0" applyFill="1" applyBorder="1"/>
    <xf numFmtId="0" fontId="9" fillId="4" borderId="16" xfId="0" applyFont="1" applyFill="1" applyBorder="1" applyAlignment="1">
      <alignment horizontal="center"/>
    </xf>
    <xf numFmtId="0" fontId="9" fillId="4" borderId="17" xfId="0" applyFont="1" applyFill="1" applyBorder="1" applyAlignment="1">
      <alignment horizontal="center"/>
    </xf>
    <xf numFmtId="0" fontId="9" fillId="4" borderId="18" xfId="0" applyFont="1" applyFill="1" applyBorder="1" applyAlignment="1">
      <alignment horizontal="right"/>
    </xf>
    <xf numFmtId="6" fontId="0" fillId="4" borderId="0" xfId="0" applyNumberFormat="1" applyFill="1" applyBorder="1"/>
    <xf numFmtId="6" fontId="0" fillId="4" borderId="19" xfId="0" applyNumberFormat="1" applyFill="1" applyBorder="1"/>
    <xf numFmtId="6" fontId="0" fillId="4" borderId="14" xfId="0" applyNumberFormat="1" applyFill="1" applyBorder="1"/>
    <xf numFmtId="6" fontId="0" fillId="4" borderId="20" xfId="0" applyNumberFormat="1" applyFill="1" applyBorder="1"/>
    <xf numFmtId="0" fontId="9" fillId="4" borderId="21" xfId="0" applyFont="1" applyFill="1" applyBorder="1" applyAlignment="1">
      <alignment horizontal="right"/>
    </xf>
    <xf numFmtId="6" fontId="10" fillId="4" borderId="14" xfId="0" applyNumberFormat="1" applyFont="1" applyFill="1" applyBorder="1"/>
    <xf numFmtId="6" fontId="10" fillId="4" borderId="20" xfId="0" applyNumberFormat="1" applyFont="1" applyFill="1" applyBorder="1"/>
    <xf numFmtId="14" fontId="0" fillId="0" borderId="0" xfId="0" applyNumberFormat="1"/>
    <xf numFmtId="0" fontId="0" fillId="0" borderId="22" xfId="0" applyFill="1" applyBorder="1"/>
    <xf numFmtId="0" fontId="6" fillId="5" borderId="23" xfId="0" applyFont="1" applyFill="1" applyBorder="1" applyAlignment="1">
      <alignment horizontal="center"/>
    </xf>
    <xf numFmtId="0" fontId="6" fillId="5" borderId="24" xfId="0" applyFont="1" applyFill="1" applyBorder="1" applyAlignment="1">
      <alignment horizontal="right"/>
    </xf>
    <xf numFmtId="165" fontId="0" fillId="0" borderId="25" xfId="1" applyNumberFormat="1" applyFont="1" applyFill="1" applyBorder="1"/>
    <xf numFmtId="165" fontId="0" fillId="0" borderId="24" xfId="1" applyNumberFormat="1" applyFont="1" applyFill="1" applyBorder="1"/>
    <xf numFmtId="0" fontId="6" fillId="5" borderId="26" xfId="0" applyFont="1" applyFill="1" applyBorder="1" applyAlignment="1">
      <alignment horizontal="right"/>
    </xf>
    <xf numFmtId="165" fontId="0" fillId="0" borderId="26" xfId="1" applyNumberFormat="1" applyFont="1" applyFill="1" applyBorder="1"/>
    <xf numFmtId="0" fontId="10" fillId="4" borderId="0" xfId="0" applyFont="1" applyFill="1"/>
    <xf numFmtId="0" fontId="0" fillId="0" borderId="0" xfId="0" applyFill="1"/>
    <xf numFmtId="0" fontId="6" fillId="0" borderId="15" xfId="0" applyFont="1" applyBorder="1" applyAlignment="1">
      <alignment horizontal="right"/>
    </xf>
    <xf numFmtId="9" fontId="0" fillId="4" borderId="17" xfId="0" applyNumberFormat="1" applyFill="1" applyBorder="1" applyAlignment="1">
      <alignment horizontal="center"/>
    </xf>
    <xf numFmtId="0" fontId="6" fillId="0" borderId="18" xfId="0" applyFont="1" applyBorder="1" applyAlignment="1">
      <alignment horizontal="right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6" fillId="0" borderId="21" xfId="0" applyFont="1" applyBorder="1" applyAlignment="1">
      <alignment horizontal="right"/>
    </xf>
    <xf numFmtId="0" fontId="0" fillId="4" borderId="20" xfId="0" applyFill="1" applyBorder="1" applyAlignment="1">
      <alignment horizontal="center"/>
    </xf>
    <xf numFmtId="44" fontId="7" fillId="2" borderId="0" xfId="1" applyFont="1" applyFill="1"/>
    <xf numFmtId="6" fontId="7" fillId="2" borderId="0" xfId="0" applyNumberFormat="1" applyFont="1" applyFill="1"/>
    <xf numFmtId="165" fontId="0" fillId="2" borderId="0" xfId="1" applyNumberFormat="1" applyFont="1" applyFill="1"/>
    <xf numFmtId="44" fontId="0" fillId="2" borderId="0" xfId="1" applyNumberFormat="1" applyFont="1" applyFill="1"/>
    <xf numFmtId="164" fontId="5" fillId="2" borderId="22" xfId="0" applyNumberFormat="1" applyFont="1" applyFill="1" applyBorder="1" applyAlignment="1">
      <alignment horizontal="center"/>
    </xf>
    <xf numFmtId="0" fontId="4" fillId="0" borderId="0" xfId="0" applyFont="1" applyFill="1" applyAlignment="1">
      <alignment vertical="center"/>
    </xf>
    <xf numFmtId="0" fontId="10" fillId="0" borderId="0" xfId="0" applyFon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2" fontId="0" fillId="0" borderId="0" xfId="0" applyNumberFormat="1" applyAlignment="1"/>
    <xf numFmtId="0" fontId="0" fillId="0" borderId="7" xfId="0" applyBorder="1"/>
    <xf numFmtId="0" fontId="0" fillId="0" borderId="9" xfId="0" applyBorder="1"/>
    <xf numFmtId="0" fontId="11" fillId="0" borderId="0" xfId="0" applyFont="1"/>
    <xf numFmtId="0" fontId="12" fillId="0" borderId="0" xfId="0" applyFont="1"/>
    <xf numFmtId="2" fontId="0" fillId="0" borderId="0" xfId="0" applyNumberFormat="1"/>
    <xf numFmtId="165" fontId="0" fillId="0" borderId="0" xfId="1" applyNumberFormat="1" applyFont="1"/>
    <xf numFmtId="0" fontId="0" fillId="6" borderId="0" xfId="0" applyFill="1"/>
    <xf numFmtId="0" fontId="0" fillId="0" borderId="0" xfId="0" applyAlignment="1">
      <alignment horizontal="center"/>
    </xf>
    <xf numFmtId="5" fontId="0" fillId="0" borderId="0" xfId="1" applyNumberFormat="1" applyFont="1" applyAlignment="1">
      <alignment horizontal="right"/>
    </xf>
    <xf numFmtId="0" fontId="0" fillId="0" borderId="0" xfId="0" quotePrefix="1"/>
    <xf numFmtId="0" fontId="0" fillId="0" borderId="0" xfId="0" applyAlignment="1">
      <alignment horizontal="right"/>
    </xf>
    <xf numFmtId="0" fontId="2" fillId="0" borderId="0" xfId="0" applyFont="1"/>
    <xf numFmtId="0" fontId="2" fillId="0" borderId="12" xfId="0" applyFont="1" applyBorder="1"/>
    <xf numFmtId="0" fontId="2" fillId="0" borderId="13" xfId="0" applyFont="1" applyBorder="1"/>
    <xf numFmtId="0" fontId="2" fillId="0" borderId="10" xfId="0" applyFont="1" applyBorder="1"/>
    <xf numFmtId="0" fontId="2" fillId="0" borderId="11" xfId="0" applyFont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0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2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Border="1" applyAlignment="1">
      <alignment horizontal="center" wrapText="1"/>
    </xf>
    <xf numFmtId="0" fontId="16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/>
    </xf>
    <xf numFmtId="1" fontId="15" fillId="0" borderId="0" xfId="0" applyNumberFormat="1" applyFont="1" applyBorder="1" applyAlignment="1">
      <alignment horizontal="center" wrapText="1"/>
    </xf>
    <xf numFmtId="0" fontId="2" fillId="0" borderId="2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0" fillId="6" borderId="28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5" fontId="0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6</xdr:row>
      <xdr:rowOff>0</xdr:rowOff>
    </xdr:from>
    <xdr:to>
      <xdr:col>11</xdr:col>
      <xdr:colOff>0</xdr:colOff>
      <xdr:row>12</xdr:row>
      <xdr:rowOff>123825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429125" y="1076325"/>
          <a:ext cx="2124075" cy="1095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1. Select range B6:G6.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2. From Excel's formatting toolbar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click the "Merge and Center"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tool.</a:t>
          </a:r>
        </a:p>
      </xdr:txBody>
    </xdr:sp>
    <xdr:clientData/>
  </xdr:twoCellAnchor>
  <xdr:twoCellAnchor>
    <xdr:from>
      <xdr:col>8</xdr:col>
      <xdr:colOff>361950</xdr:colOff>
      <xdr:row>9</xdr:row>
      <xdr:rowOff>104775</xdr:rowOff>
    </xdr:from>
    <xdr:to>
      <xdr:col>9</xdr:col>
      <xdr:colOff>104775</xdr:colOff>
      <xdr:row>12</xdr:row>
      <xdr:rowOff>47625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522" t="41565" r="45660" b="41862"/>
        <a:stretch>
          <a:fillRect/>
        </a:stretch>
      </xdr:blipFill>
      <xdr:spPr bwMode="auto">
        <a:xfrm>
          <a:off x="5057775" y="1666875"/>
          <a:ext cx="381000" cy="428625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8</xdr:col>
      <xdr:colOff>295275</xdr:colOff>
      <xdr:row>24</xdr:row>
      <xdr:rowOff>152400</xdr:rowOff>
    </xdr:to>
    <xdr:sp macro="" textlink="">
      <xdr:nvSpPr>
        <xdr:cNvPr id="4" name="Text Box 4"/>
        <xdr:cNvSpPr txBox="1">
          <a:spLocks noChangeArrowheads="1"/>
        </xdr:cNvSpPr>
      </xdr:nvSpPr>
      <xdr:spPr bwMode="auto">
        <a:xfrm>
          <a:off x="2867025" y="2695575"/>
          <a:ext cx="2124075" cy="1447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Select each of the five cells in turn in the range B18 to B22. Format the cell by clicking the appropriate formatting tool button from the Formatting toolbar.</a:t>
          </a:r>
        </a:p>
      </xdr:txBody>
    </xdr:sp>
    <xdr:clientData/>
  </xdr:twoCellAnchor>
  <xdr:twoCellAnchor>
    <xdr:from>
      <xdr:col>5</xdr:col>
      <xdr:colOff>333375</xdr:colOff>
      <xdr:row>21</xdr:row>
      <xdr:rowOff>133350</xdr:rowOff>
    </xdr:from>
    <xdr:to>
      <xdr:col>7</xdr:col>
      <xdr:colOff>504825</xdr:colOff>
      <xdr:row>23</xdr:row>
      <xdr:rowOff>152400</xdr:rowOff>
    </xdr:to>
    <xdr:pic>
      <xdr:nvPicPr>
        <xdr:cNvPr id="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742" t="41708" r="26811" b="40938"/>
        <a:stretch>
          <a:fillRect/>
        </a:stretch>
      </xdr:blipFill>
      <xdr:spPr bwMode="auto">
        <a:xfrm>
          <a:off x="3200400" y="3638550"/>
          <a:ext cx="1390650" cy="342900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581024</xdr:colOff>
      <xdr:row>32</xdr:row>
      <xdr:rowOff>28575</xdr:rowOff>
    </xdr:from>
    <xdr:to>
      <xdr:col>8</xdr:col>
      <xdr:colOff>342899</xdr:colOff>
      <xdr:row>41</xdr:row>
      <xdr:rowOff>28575</xdr:rowOff>
    </xdr:to>
    <xdr:sp macro="" textlink="">
      <xdr:nvSpPr>
        <xdr:cNvPr id="7" name="Text Box 1"/>
        <xdr:cNvSpPr txBox="1">
          <a:spLocks noChangeArrowheads="1"/>
        </xdr:cNvSpPr>
      </xdr:nvSpPr>
      <xdr:spPr bwMode="auto">
        <a:xfrm>
          <a:off x="3114674" y="6172200"/>
          <a:ext cx="2200275" cy="1714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1. Select range B29:J30.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2. Copy, Paste Special, Select Transpose.</a:t>
          </a:r>
        </a:p>
      </xdr:txBody>
    </xdr:sp>
    <xdr:clientData/>
  </xdr:twoCellAnchor>
  <xdr:twoCellAnchor editAs="oneCell">
    <xdr:from>
      <xdr:col>6</xdr:col>
      <xdr:colOff>295274</xdr:colOff>
      <xdr:row>34</xdr:row>
      <xdr:rowOff>28265</xdr:rowOff>
    </xdr:from>
    <xdr:to>
      <xdr:col>7</xdr:col>
      <xdr:colOff>685799</xdr:colOff>
      <xdr:row>41</xdr:row>
      <xdr:rowOff>39493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48124" y="6552890"/>
          <a:ext cx="1095375" cy="13447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5</xdr:row>
      <xdr:rowOff>152400</xdr:rowOff>
    </xdr:from>
    <xdr:to>
      <xdr:col>9</xdr:col>
      <xdr:colOff>504825</xdr:colOff>
      <xdr:row>23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457575" y="1038225"/>
          <a:ext cx="2609850" cy="2876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1. Check to see that the cell C11 at left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holds the SUM formula =SUM(C8:C10).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2. Make cell C11 the current cell.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3. Position the mouse pointer on the filled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black square at the lower right-hand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corner of cell C11 and drag the pointer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across to cell E11. The result should look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like this: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4. Examine the copied formulas in cells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D11 and E11. Excel has </a:t>
          </a:r>
          <a:r>
            <a:rPr lang="en-US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adjusted the</a:t>
          </a:r>
        </a:p>
        <a:p>
          <a:pPr algn="l" rtl="0">
            <a:defRPr sz="1000"/>
          </a:pPr>
          <a:r>
            <a:rPr lang="en-US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    cell references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so they refer to the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correct values in their columns. That is,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=SUM(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8: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10) becomes =SUM(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8: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10)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and =SUM(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8: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10).</a:t>
          </a:r>
        </a:p>
      </xdr:txBody>
    </xdr:sp>
    <xdr:clientData/>
  </xdr:twoCellAnchor>
  <xdr:twoCellAnchor editAs="oneCell">
    <xdr:from>
      <xdr:col>5</xdr:col>
      <xdr:colOff>533400</xdr:colOff>
      <xdr:row>12</xdr:row>
      <xdr:rowOff>85725</xdr:rowOff>
    </xdr:from>
    <xdr:to>
      <xdr:col>8</xdr:col>
      <xdr:colOff>757518</xdr:colOff>
      <xdr:row>14</xdr:row>
      <xdr:rowOff>66675</xdr:rowOff>
    </xdr:to>
    <xdr:pic>
      <xdr:nvPicPr>
        <xdr:cNvPr id="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6" t="13513" r="1794"/>
        <a:stretch>
          <a:fillRect/>
        </a:stretch>
      </xdr:blipFill>
      <xdr:spPr bwMode="auto">
        <a:xfrm>
          <a:off x="3657600" y="2428875"/>
          <a:ext cx="2057400" cy="361950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371475</xdr:colOff>
      <xdr:row>28</xdr:row>
      <xdr:rowOff>9525</xdr:rowOff>
    </xdr:from>
    <xdr:to>
      <xdr:col>9</xdr:col>
      <xdr:colOff>542925</xdr:colOff>
      <xdr:row>52</xdr:row>
      <xdr:rowOff>142875</xdr:rowOff>
    </xdr:to>
    <xdr:sp macro="" textlink="">
      <xdr:nvSpPr>
        <xdr:cNvPr id="4" name="Text Box 5"/>
        <xdr:cNvSpPr txBox="1">
          <a:spLocks noChangeArrowheads="1"/>
        </xdr:cNvSpPr>
      </xdr:nvSpPr>
      <xdr:spPr bwMode="auto">
        <a:xfrm>
          <a:off x="3495675" y="4629150"/>
          <a:ext cx="2609850" cy="405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1. Check to see that the cell C35 at left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holds the formula =SUM(C32:C34)*C29.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2. Make cell C35 the current cell.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3. Position the mouse pointer on the filled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black square at the lower right-hand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corner of cell C11 and drag the pointer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across to cell E35. The result should look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like this: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The formulas in Cells D35 and E35 are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incorrect as copied. Excel has used its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default relative referencing in the copied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formulas but that's not appropriate for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the reference to the tax rate in Cell C29.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4. Modify the "master formula" in Cell C35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so it looks like this: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=SUM(C32:C34)*$C$29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and then copy the modified formula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across for Quarters 2 and 3 to get the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correct results.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Check the completed example (with green background) to see another instance.</a:t>
          </a:r>
        </a:p>
      </xdr:txBody>
    </xdr:sp>
    <xdr:clientData/>
  </xdr:twoCellAnchor>
  <xdr:twoCellAnchor editAs="oneCell">
    <xdr:from>
      <xdr:col>5</xdr:col>
      <xdr:colOff>504825</xdr:colOff>
      <xdr:row>34</xdr:row>
      <xdr:rowOff>114300</xdr:rowOff>
    </xdr:from>
    <xdr:to>
      <xdr:col>8</xdr:col>
      <xdr:colOff>1014693</xdr:colOff>
      <xdr:row>36</xdr:row>
      <xdr:rowOff>76200</xdr:rowOff>
    </xdr:to>
    <xdr:pic>
      <xdr:nvPicPr>
        <xdr:cNvPr id="5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9025" y="6657975"/>
          <a:ext cx="234315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104775</xdr:colOff>
      <xdr:row>28</xdr:row>
      <xdr:rowOff>0</xdr:rowOff>
    </xdr:from>
    <xdr:to>
      <xdr:col>14</xdr:col>
      <xdr:colOff>276225</xdr:colOff>
      <xdr:row>44</xdr:row>
      <xdr:rowOff>123825</xdr:rowOff>
    </xdr:to>
    <xdr:sp macro="" textlink="">
      <xdr:nvSpPr>
        <xdr:cNvPr id="6" name="Text Box 9"/>
        <xdr:cNvSpPr txBox="1">
          <a:spLocks noChangeArrowheads="1"/>
        </xdr:cNvSpPr>
      </xdr:nvSpPr>
      <xdr:spPr bwMode="auto">
        <a:xfrm>
          <a:off x="6276975" y="4619625"/>
          <a:ext cx="2609850" cy="2752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Tip-Building a Formula with Absolute Addressing 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An absolute reference is indicated by the dollar signs before the row and column indicators; e.g., $C$29. An alternative to typing in the dollar signs is to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1. Position the mouse pointer on the cell reference in the formula bar.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2. Tap the F4 key until the type of reference you want is displayed.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The F4 key toggles through four options: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C29     - relative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$C$29  - absolute row and column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$C29    - absolute column, relative row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C$29    - absolute row, relative column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352425</xdr:colOff>
      <xdr:row>69</xdr:row>
      <xdr:rowOff>19050</xdr:rowOff>
    </xdr:from>
    <xdr:to>
      <xdr:col>9</xdr:col>
      <xdr:colOff>523875</xdr:colOff>
      <xdr:row>85</xdr:row>
      <xdr:rowOff>0</xdr:rowOff>
    </xdr:to>
    <xdr:sp macro="" textlink="">
      <xdr:nvSpPr>
        <xdr:cNvPr id="7" name="Text Box 10"/>
        <xdr:cNvSpPr txBox="1">
          <a:spLocks noChangeArrowheads="1"/>
        </xdr:cNvSpPr>
      </xdr:nvSpPr>
      <xdr:spPr bwMode="auto">
        <a:xfrm>
          <a:off x="3476625" y="9048750"/>
          <a:ext cx="2609850" cy="2457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1. Write a function in each of Cells C78:C82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at left to calculate the sum, average,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minimum value, and maximum value in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the range C73:C76 (named SALES).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For standard deviation: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 if you use  =stdev() this gives you sample std dev.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effectLst/>
              <a:latin typeface="+mn-lt"/>
              <a:ea typeface="+mn-ea"/>
              <a:cs typeface="+mn-cs"/>
            </a:rPr>
            <a:t>- if you use  =stdev.p() this gives you population std dev.</a:t>
          </a:r>
          <a:endParaRPr lang="en-US">
            <a:effectLst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2. Enter the TODAY function in Cell C84 to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return the current date. The syntax of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the function is: =TODAY()</a:t>
          </a:r>
        </a:p>
      </xdr:txBody>
    </xdr:sp>
    <xdr:clientData/>
  </xdr:twoCellAnchor>
  <xdr:twoCellAnchor>
    <xdr:from>
      <xdr:col>5</xdr:col>
      <xdr:colOff>361950</xdr:colOff>
      <xdr:row>89</xdr:row>
      <xdr:rowOff>19050</xdr:rowOff>
    </xdr:from>
    <xdr:to>
      <xdr:col>9</xdr:col>
      <xdr:colOff>533400</xdr:colOff>
      <xdr:row>110</xdr:row>
      <xdr:rowOff>89647</xdr:rowOff>
    </xdr:to>
    <xdr:sp macro="" textlink="">
      <xdr:nvSpPr>
        <xdr:cNvPr id="9" name="Text Box 12"/>
        <xdr:cNvSpPr txBox="1">
          <a:spLocks noChangeArrowheads="1"/>
        </xdr:cNvSpPr>
      </xdr:nvSpPr>
      <xdr:spPr bwMode="auto">
        <a:xfrm>
          <a:off x="4844303" y="17130432"/>
          <a:ext cx="3163421" cy="407109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1. Write an IF function in Cell C97 that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compares the sales in Quarters 1 and 2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and returns the text "Q1 better than 2" or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"Q2 better than Q1". Your formula should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look like this: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=IF(C92&gt;C93, "Q1 better than Q2",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"Q2 better than Q1.")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2. Write an IF statement in Cell C99 that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includes a nested MAX function and that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returns the text "Exceeded $600M sales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in one quarter" if any quarter meets that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criteria or "Quota not met" if not. Your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formula should look like this: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=IF(MAX(C92:C95)&gt;600, "Exceeded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$600M sales in 1 quarter","Quota not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met")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3. Write an IF statement in Cell 101 that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compares sales in Q1 and Q2. If Q1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sales are greater, return the difference.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If Q1 sales are less, return the increase.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Your formula should look like this: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=IF(C92&gt;C93, C92-C93, C93-C92)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4. =IF(OR(C92&lt;C94, C93&lt;C94), "YES", "NO")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5. =IF(AND(C92&lt;C94, C93&lt;C94), "YES", "NO")</a:t>
          </a:r>
        </a:p>
      </xdr:txBody>
    </xdr:sp>
    <xdr:clientData/>
  </xdr:twoCellAnchor>
  <xdr:twoCellAnchor>
    <xdr:from>
      <xdr:col>5</xdr:col>
      <xdr:colOff>295275</xdr:colOff>
      <xdr:row>114</xdr:row>
      <xdr:rowOff>123825</xdr:rowOff>
    </xdr:from>
    <xdr:to>
      <xdr:col>9</xdr:col>
      <xdr:colOff>466725</xdr:colOff>
      <xdr:row>127</xdr:row>
      <xdr:rowOff>95250</xdr:rowOff>
    </xdr:to>
    <xdr:sp macro="" textlink="">
      <xdr:nvSpPr>
        <xdr:cNvPr id="10" name="Text Box 13"/>
        <xdr:cNvSpPr txBox="1">
          <a:spLocks noChangeArrowheads="1"/>
        </xdr:cNvSpPr>
      </xdr:nvSpPr>
      <xdr:spPr bwMode="auto">
        <a:xfrm>
          <a:off x="3419475" y="16325850"/>
          <a:ext cx="2609850" cy="2105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1. Turn on Excel's "Formula Auditing" 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toolbar by choosing </a:t>
          </a:r>
          <a:r>
            <a:rPr lang="en-US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Formulas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from Excel's menu.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2. Click Cell C120 and click the "Trace 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Precedents" button on the toolbar to see 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the values used by the C120 formula.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3. Click Cell C116 and click the "Trace 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Dependents" button on the toolbar to see 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the formula values that depend on the tax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rate value in C116.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4. Click the "Remove All Arrows" button on </a:t>
          </a:r>
        </a:p>
        <a:p>
          <a:pPr algn="l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the toolbar to remove auditing indicators. </a:t>
          </a:r>
        </a:p>
      </xdr:txBody>
    </xdr:sp>
    <xdr:clientData/>
  </xdr:twoCellAnchor>
  <xdr:twoCellAnchor>
    <xdr:from>
      <xdr:col>13</xdr:col>
      <xdr:colOff>347383</xdr:colOff>
      <xdr:row>58</xdr:row>
      <xdr:rowOff>156883</xdr:rowOff>
    </xdr:from>
    <xdr:to>
      <xdr:col>17</xdr:col>
      <xdr:colOff>224118</xdr:colOff>
      <xdr:row>63</xdr:row>
      <xdr:rowOff>156883</xdr:rowOff>
    </xdr:to>
    <xdr:sp macro="" textlink="">
      <xdr:nvSpPr>
        <xdr:cNvPr id="11" name="Text Box 10"/>
        <xdr:cNvSpPr txBox="1">
          <a:spLocks noChangeArrowheads="1"/>
        </xdr:cNvSpPr>
      </xdr:nvSpPr>
      <xdr:spPr bwMode="auto">
        <a:xfrm>
          <a:off x="10040471" y="11306736"/>
          <a:ext cx="2297206" cy="952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1. Select cell J61. Write the followi ng function in that cell:  =10*$I61+2*J$60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2. Then drag to all other cells.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cemen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0"/>
  <sheetViews>
    <sheetView tabSelected="1" topLeftCell="A34" workbookViewId="0">
      <selection activeCell="E53" sqref="E53"/>
    </sheetView>
  </sheetViews>
  <sheetFormatPr defaultRowHeight="15" x14ac:dyDescent="0.25"/>
  <cols>
    <col min="3" max="3" width="10.7109375" bestFit="1" customWidth="1"/>
    <col min="4" max="10" width="10.5703125" bestFit="1" customWidth="1"/>
  </cols>
  <sheetData>
    <row r="2" spans="1:11" ht="18.75" x14ac:dyDescent="0.25">
      <c r="A2" s="5" t="s">
        <v>30</v>
      </c>
      <c r="B2" s="6"/>
      <c r="C2" s="6"/>
      <c r="D2" s="6"/>
      <c r="F2" s="48"/>
      <c r="G2" s="48"/>
    </row>
    <row r="4" spans="1:11" x14ac:dyDescent="0.25">
      <c r="A4" s="7" t="s">
        <v>40</v>
      </c>
    </row>
    <row r="6" spans="1:11" x14ac:dyDescent="0.25">
      <c r="B6" s="49" t="s">
        <v>31</v>
      </c>
    </row>
    <row r="7" spans="1:11" x14ac:dyDescent="0.25">
      <c r="B7" s="50">
        <v>1</v>
      </c>
      <c r="C7" s="1">
        <v>13</v>
      </c>
      <c r="D7" s="1">
        <v>13.3</v>
      </c>
      <c r="E7" s="1">
        <v>11.8</v>
      </c>
      <c r="F7" s="1"/>
      <c r="G7" s="51"/>
    </row>
    <row r="8" spans="1:11" x14ac:dyDescent="0.25">
      <c r="B8" s="52">
        <v>2</v>
      </c>
      <c r="C8" s="2">
        <v>21.9</v>
      </c>
      <c r="D8" s="2">
        <v>24.5</v>
      </c>
      <c r="E8" s="2">
        <v>24.7</v>
      </c>
      <c r="F8" s="2"/>
      <c r="G8" s="53"/>
    </row>
    <row r="9" spans="1:11" x14ac:dyDescent="0.25">
      <c r="B9" s="52">
        <v>3</v>
      </c>
      <c r="C9" s="2">
        <v>29.8</v>
      </c>
      <c r="D9" s="2">
        <v>28</v>
      </c>
      <c r="E9" s="2">
        <v>24.1</v>
      </c>
      <c r="F9" s="2">
        <v>24.2</v>
      </c>
      <c r="G9" s="53">
        <v>26.2</v>
      </c>
    </row>
    <row r="10" spans="1:11" x14ac:dyDescent="0.25">
      <c r="B10" s="52">
        <v>7</v>
      </c>
      <c r="C10" s="2">
        <v>32.4</v>
      </c>
      <c r="D10" s="2">
        <v>30.4</v>
      </c>
      <c r="E10" s="2">
        <v>34.5</v>
      </c>
      <c r="F10" s="2">
        <v>33.1</v>
      </c>
      <c r="G10" s="53">
        <v>35.700000000000003</v>
      </c>
      <c r="I10" s="54"/>
      <c r="J10" s="54"/>
      <c r="K10" s="54"/>
    </row>
    <row r="11" spans="1:11" x14ac:dyDescent="0.25">
      <c r="B11" s="55">
        <v>28</v>
      </c>
      <c r="C11" s="3">
        <v>41.8</v>
      </c>
      <c r="D11" s="3">
        <v>42.6</v>
      </c>
      <c r="E11" s="3">
        <v>40.299999999999997</v>
      </c>
      <c r="F11" s="3">
        <v>35.700000000000003</v>
      </c>
      <c r="G11" s="56">
        <v>37.299999999999997</v>
      </c>
    </row>
    <row r="12" spans="1:11" x14ac:dyDescent="0.25">
      <c r="B12" t="s">
        <v>32</v>
      </c>
    </row>
    <row r="13" spans="1:11" x14ac:dyDescent="0.25">
      <c r="B13" s="57" t="s">
        <v>33</v>
      </c>
    </row>
    <row r="16" spans="1:11" x14ac:dyDescent="0.25">
      <c r="A16" s="7" t="s">
        <v>39</v>
      </c>
    </row>
    <row r="18" spans="1:10" x14ac:dyDescent="0.25">
      <c r="B18">
        <v>100</v>
      </c>
      <c r="C18" s="58" t="s">
        <v>34</v>
      </c>
    </row>
    <row r="19" spans="1:10" x14ac:dyDescent="0.25">
      <c r="B19">
        <v>100</v>
      </c>
      <c r="C19" s="58" t="s">
        <v>35</v>
      </c>
    </row>
    <row r="20" spans="1:10" x14ac:dyDescent="0.25">
      <c r="B20">
        <v>1000000</v>
      </c>
      <c r="C20" s="58" t="s">
        <v>36</v>
      </c>
    </row>
    <row r="21" spans="1:10" x14ac:dyDescent="0.25">
      <c r="B21" s="59">
        <v>100</v>
      </c>
      <c r="C21" s="58" t="s">
        <v>37</v>
      </c>
    </row>
    <row r="22" spans="1:10" x14ac:dyDescent="0.25">
      <c r="B22" s="59">
        <v>100</v>
      </c>
      <c r="C22" s="58" t="s">
        <v>38</v>
      </c>
    </row>
    <row r="27" spans="1:10" x14ac:dyDescent="0.25">
      <c r="A27" s="7" t="s">
        <v>41</v>
      </c>
    </row>
    <row r="29" spans="1:10" x14ac:dyDescent="0.25">
      <c r="B29" t="s">
        <v>42</v>
      </c>
      <c r="C29" s="62">
        <v>2010</v>
      </c>
      <c r="D29" s="62">
        <v>2011</v>
      </c>
      <c r="E29" s="62">
        <v>2012</v>
      </c>
      <c r="F29" s="62">
        <v>2013</v>
      </c>
      <c r="G29" s="62">
        <v>2014</v>
      </c>
      <c r="H29" s="62">
        <v>2015</v>
      </c>
      <c r="I29" s="62">
        <v>2016</v>
      </c>
      <c r="J29" s="62">
        <v>2017</v>
      </c>
    </row>
    <row r="30" spans="1:10" x14ac:dyDescent="0.25">
      <c r="B30" t="s">
        <v>11</v>
      </c>
      <c r="C30" s="63">
        <v>9785</v>
      </c>
      <c r="D30" s="63">
        <v>7672</v>
      </c>
      <c r="E30" s="63">
        <v>9141</v>
      </c>
      <c r="F30" s="63">
        <v>9507</v>
      </c>
      <c r="G30" s="63">
        <v>5693</v>
      </c>
      <c r="H30" s="63">
        <v>8380</v>
      </c>
      <c r="I30" s="63">
        <v>8319</v>
      </c>
      <c r="J30" s="63">
        <v>7908</v>
      </c>
    </row>
    <row r="32" spans="1:10" x14ac:dyDescent="0.25">
      <c r="B32" s="62" t="s">
        <v>42</v>
      </c>
      <c r="C32" s="62" t="s">
        <v>11</v>
      </c>
    </row>
    <row r="33" spans="2:3" x14ac:dyDescent="0.25">
      <c r="B33" s="61"/>
      <c r="C33" s="61"/>
    </row>
    <row r="34" spans="2:3" x14ac:dyDescent="0.25">
      <c r="B34" s="61"/>
      <c r="C34" s="61"/>
    </row>
    <row r="35" spans="2:3" x14ac:dyDescent="0.25">
      <c r="B35" s="61"/>
      <c r="C35" s="61"/>
    </row>
    <row r="36" spans="2:3" x14ac:dyDescent="0.25">
      <c r="B36" s="61"/>
      <c r="C36" s="61"/>
    </row>
    <row r="37" spans="2:3" x14ac:dyDescent="0.25">
      <c r="B37" s="61"/>
      <c r="C37" s="61"/>
    </row>
    <row r="38" spans="2:3" x14ac:dyDescent="0.25">
      <c r="B38" s="61"/>
      <c r="C38" s="61"/>
    </row>
    <row r="39" spans="2:3" x14ac:dyDescent="0.25">
      <c r="B39" s="61"/>
      <c r="C39" s="61"/>
    </row>
    <row r="40" spans="2:3" x14ac:dyDescent="0.25">
      <c r="B40" s="61"/>
      <c r="C40" s="6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20"/>
  <sheetViews>
    <sheetView topLeftCell="A64" zoomScaleNormal="100" workbookViewId="0">
      <selection activeCell="C17" sqref="C17"/>
    </sheetView>
  </sheetViews>
  <sheetFormatPr defaultRowHeight="15" x14ac:dyDescent="0.25"/>
  <cols>
    <col min="1" max="1" width="11.42578125" customWidth="1"/>
    <col min="2" max="2" width="21" customWidth="1"/>
    <col min="3" max="3" width="14.7109375" customWidth="1"/>
    <col min="5" max="5" width="16.140625" customWidth="1"/>
    <col min="9" max="9" width="17.7109375" customWidth="1"/>
    <col min="259" max="259" width="10.28515625" bestFit="1" customWidth="1"/>
    <col min="515" max="515" width="10.28515625" bestFit="1" customWidth="1"/>
    <col min="771" max="771" width="10.28515625" bestFit="1" customWidth="1"/>
    <col min="1027" max="1027" width="10.28515625" bestFit="1" customWidth="1"/>
    <col min="1283" max="1283" width="10.28515625" bestFit="1" customWidth="1"/>
    <col min="1539" max="1539" width="10.28515625" bestFit="1" customWidth="1"/>
    <col min="1795" max="1795" width="10.28515625" bestFit="1" customWidth="1"/>
    <col min="2051" max="2051" width="10.28515625" bestFit="1" customWidth="1"/>
    <col min="2307" max="2307" width="10.28515625" bestFit="1" customWidth="1"/>
    <col min="2563" max="2563" width="10.28515625" bestFit="1" customWidth="1"/>
    <col min="2819" max="2819" width="10.28515625" bestFit="1" customWidth="1"/>
    <col min="3075" max="3075" width="10.28515625" bestFit="1" customWidth="1"/>
    <col min="3331" max="3331" width="10.28515625" bestFit="1" customWidth="1"/>
    <col min="3587" max="3587" width="10.28515625" bestFit="1" customWidth="1"/>
    <col min="3843" max="3843" width="10.28515625" bestFit="1" customWidth="1"/>
    <col min="4099" max="4099" width="10.28515625" bestFit="1" customWidth="1"/>
    <col min="4355" max="4355" width="10.28515625" bestFit="1" customWidth="1"/>
    <col min="4611" max="4611" width="10.28515625" bestFit="1" customWidth="1"/>
    <col min="4867" max="4867" width="10.28515625" bestFit="1" customWidth="1"/>
    <col min="5123" max="5123" width="10.28515625" bestFit="1" customWidth="1"/>
    <col min="5379" max="5379" width="10.28515625" bestFit="1" customWidth="1"/>
    <col min="5635" max="5635" width="10.28515625" bestFit="1" customWidth="1"/>
    <col min="5891" max="5891" width="10.28515625" bestFit="1" customWidth="1"/>
    <col min="6147" max="6147" width="10.28515625" bestFit="1" customWidth="1"/>
    <col min="6403" max="6403" width="10.28515625" bestFit="1" customWidth="1"/>
    <col min="6659" max="6659" width="10.28515625" bestFit="1" customWidth="1"/>
    <col min="6915" max="6915" width="10.28515625" bestFit="1" customWidth="1"/>
    <col min="7171" max="7171" width="10.28515625" bestFit="1" customWidth="1"/>
    <col min="7427" max="7427" width="10.28515625" bestFit="1" customWidth="1"/>
    <col min="7683" max="7683" width="10.28515625" bestFit="1" customWidth="1"/>
    <col min="7939" max="7939" width="10.28515625" bestFit="1" customWidth="1"/>
    <col min="8195" max="8195" width="10.28515625" bestFit="1" customWidth="1"/>
    <col min="8451" max="8451" width="10.28515625" bestFit="1" customWidth="1"/>
    <col min="8707" max="8707" width="10.28515625" bestFit="1" customWidth="1"/>
    <col min="8963" max="8963" width="10.28515625" bestFit="1" customWidth="1"/>
    <col min="9219" max="9219" width="10.28515625" bestFit="1" customWidth="1"/>
    <col min="9475" max="9475" width="10.28515625" bestFit="1" customWidth="1"/>
    <col min="9731" max="9731" width="10.28515625" bestFit="1" customWidth="1"/>
    <col min="9987" max="9987" width="10.28515625" bestFit="1" customWidth="1"/>
    <col min="10243" max="10243" width="10.28515625" bestFit="1" customWidth="1"/>
    <col min="10499" max="10499" width="10.28515625" bestFit="1" customWidth="1"/>
    <col min="10755" max="10755" width="10.28515625" bestFit="1" customWidth="1"/>
    <col min="11011" max="11011" width="10.28515625" bestFit="1" customWidth="1"/>
    <col min="11267" max="11267" width="10.28515625" bestFit="1" customWidth="1"/>
    <col min="11523" max="11523" width="10.28515625" bestFit="1" customWidth="1"/>
    <col min="11779" max="11779" width="10.28515625" bestFit="1" customWidth="1"/>
    <col min="12035" max="12035" width="10.28515625" bestFit="1" customWidth="1"/>
    <col min="12291" max="12291" width="10.28515625" bestFit="1" customWidth="1"/>
    <col min="12547" max="12547" width="10.28515625" bestFit="1" customWidth="1"/>
    <col min="12803" max="12803" width="10.28515625" bestFit="1" customWidth="1"/>
    <col min="13059" max="13059" width="10.28515625" bestFit="1" customWidth="1"/>
    <col min="13315" max="13315" width="10.28515625" bestFit="1" customWidth="1"/>
    <col min="13571" max="13571" width="10.28515625" bestFit="1" customWidth="1"/>
    <col min="13827" max="13827" width="10.28515625" bestFit="1" customWidth="1"/>
    <col min="14083" max="14083" width="10.28515625" bestFit="1" customWidth="1"/>
    <col min="14339" max="14339" width="10.28515625" bestFit="1" customWidth="1"/>
    <col min="14595" max="14595" width="10.28515625" bestFit="1" customWidth="1"/>
    <col min="14851" max="14851" width="10.28515625" bestFit="1" customWidth="1"/>
    <col min="15107" max="15107" width="10.28515625" bestFit="1" customWidth="1"/>
    <col min="15363" max="15363" width="10.28515625" bestFit="1" customWidth="1"/>
    <col min="15619" max="15619" width="10.28515625" bestFit="1" customWidth="1"/>
    <col min="15875" max="15875" width="10.28515625" bestFit="1" customWidth="1"/>
    <col min="16131" max="16131" width="10.28515625" bestFit="1" customWidth="1"/>
  </cols>
  <sheetData>
    <row r="2" spans="1:5" ht="18.75" x14ac:dyDescent="0.25">
      <c r="A2" s="5" t="s">
        <v>0</v>
      </c>
      <c r="B2" s="6"/>
      <c r="C2" s="6"/>
    </row>
    <row r="5" spans="1:5" x14ac:dyDescent="0.25">
      <c r="A5" s="7" t="s">
        <v>26</v>
      </c>
    </row>
    <row r="7" spans="1:5" x14ac:dyDescent="0.25">
      <c r="C7" s="8">
        <v>2019</v>
      </c>
      <c r="D7" s="8">
        <v>2018</v>
      </c>
      <c r="E7" s="8">
        <v>2017</v>
      </c>
    </row>
    <row r="8" spans="1:5" x14ac:dyDescent="0.25">
      <c r="B8" s="9" t="s">
        <v>4</v>
      </c>
      <c r="C8" s="10">
        <v>500</v>
      </c>
      <c r="D8" s="10">
        <v>250</v>
      </c>
      <c r="E8" s="10">
        <v>35</v>
      </c>
    </row>
    <row r="9" spans="1:5" x14ac:dyDescent="0.25">
      <c r="B9" s="9" t="s">
        <v>5</v>
      </c>
      <c r="C9" s="10">
        <v>300</v>
      </c>
      <c r="D9" s="10">
        <v>120</v>
      </c>
      <c r="E9" s="10">
        <v>45</v>
      </c>
    </row>
    <row r="10" spans="1:5" ht="15.75" thickBot="1" x14ac:dyDescent="0.3">
      <c r="B10" s="9" t="s">
        <v>6</v>
      </c>
      <c r="C10" s="11">
        <v>100</v>
      </c>
      <c r="D10" s="11">
        <v>95</v>
      </c>
      <c r="E10" s="11">
        <v>55</v>
      </c>
    </row>
    <row r="11" spans="1:5" x14ac:dyDescent="0.25">
      <c r="B11" s="9" t="s">
        <v>7</v>
      </c>
      <c r="C11" s="43"/>
      <c r="D11" s="43"/>
      <c r="E11" s="43"/>
    </row>
    <row r="27" spans="1:5" x14ac:dyDescent="0.25">
      <c r="A27" s="7" t="s">
        <v>27</v>
      </c>
    </row>
    <row r="29" spans="1:5" x14ac:dyDescent="0.25">
      <c r="B29" s="12" t="s">
        <v>8</v>
      </c>
      <c r="C29" s="13">
        <v>0.04</v>
      </c>
    </row>
    <row r="31" spans="1:5" x14ac:dyDescent="0.25">
      <c r="C31" s="8">
        <v>2019</v>
      </c>
      <c r="D31" s="8">
        <v>2018</v>
      </c>
      <c r="E31" s="8">
        <v>2017</v>
      </c>
    </row>
    <row r="32" spans="1:5" x14ac:dyDescent="0.25">
      <c r="B32" s="9" t="s">
        <v>4</v>
      </c>
      <c r="C32" s="10">
        <v>500</v>
      </c>
      <c r="D32" s="10">
        <v>250</v>
      </c>
      <c r="E32" s="10">
        <v>35</v>
      </c>
    </row>
    <row r="33" spans="2:5" x14ac:dyDescent="0.25">
      <c r="B33" s="9" t="s">
        <v>5</v>
      </c>
      <c r="C33" s="10">
        <v>300</v>
      </c>
      <c r="D33" s="10">
        <v>120</v>
      </c>
      <c r="E33" s="10">
        <v>45</v>
      </c>
    </row>
    <row r="34" spans="2:5" ht="15.75" thickBot="1" x14ac:dyDescent="0.3">
      <c r="B34" s="9" t="s">
        <v>6</v>
      </c>
      <c r="C34" s="11">
        <v>100</v>
      </c>
      <c r="D34" s="11">
        <v>95</v>
      </c>
      <c r="E34" s="11">
        <v>55</v>
      </c>
    </row>
    <row r="35" spans="2:5" x14ac:dyDescent="0.25">
      <c r="B35" s="9" t="s">
        <v>9</v>
      </c>
      <c r="C35" s="44"/>
      <c r="D35" s="44"/>
      <c r="E35" s="44"/>
    </row>
    <row r="37" spans="2:5" ht="15.75" thickBot="1" x14ac:dyDescent="0.3">
      <c r="B37" s="14" t="s">
        <v>10</v>
      </c>
    </row>
    <row r="38" spans="2:5" x14ac:dyDescent="0.25">
      <c r="B38" s="15"/>
      <c r="C38" s="16">
        <v>2019</v>
      </c>
      <c r="D38" s="16">
        <v>2018</v>
      </c>
      <c r="E38" s="17">
        <v>2017</v>
      </c>
    </row>
    <row r="39" spans="2:5" x14ac:dyDescent="0.25">
      <c r="B39" s="18" t="s">
        <v>4</v>
      </c>
      <c r="C39" s="19">
        <v>500</v>
      </c>
      <c r="D39" s="19">
        <v>250</v>
      </c>
      <c r="E39" s="20">
        <v>35</v>
      </c>
    </row>
    <row r="40" spans="2:5" x14ac:dyDescent="0.25">
      <c r="B40" s="18" t="s">
        <v>5</v>
      </c>
      <c r="C40" s="19">
        <v>300</v>
      </c>
      <c r="D40" s="19">
        <v>120</v>
      </c>
      <c r="E40" s="20">
        <v>45</v>
      </c>
    </row>
    <row r="41" spans="2:5" ht="15.75" thickBot="1" x14ac:dyDescent="0.3">
      <c r="B41" s="18" t="s">
        <v>6</v>
      </c>
      <c r="C41" s="21">
        <v>100</v>
      </c>
      <c r="D41" s="21">
        <v>95</v>
      </c>
      <c r="E41" s="22">
        <v>55</v>
      </c>
    </row>
    <row r="42" spans="2:5" ht="15.75" thickBot="1" x14ac:dyDescent="0.3">
      <c r="B42" s="23" t="s">
        <v>9</v>
      </c>
      <c r="C42" s="24">
        <f>SUM(C39:C41)*$C$29</f>
        <v>36</v>
      </c>
      <c r="D42" s="24">
        <f>SUM(D39:D41)*$C$29</f>
        <v>18.600000000000001</v>
      </c>
      <c r="E42" s="25">
        <f>SUM(E39:E41)*$C$29</f>
        <v>5.4</v>
      </c>
    </row>
    <row r="56" spans="1:13" x14ac:dyDescent="0.25">
      <c r="A56" s="7" t="s">
        <v>43</v>
      </c>
    </row>
    <row r="58" spans="1:13" x14ac:dyDescent="0.25">
      <c r="A58" t="s">
        <v>45</v>
      </c>
      <c r="E58" t="s">
        <v>47</v>
      </c>
      <c r="F58" s="60">
        <v>10</v>
      </c>
    </row>
    <row r="59" spans="1:13" x14ac:dyDescent="0.25">
      <c r="E59" t="s">
        <v>48</v>
      </c>
      <c r="F59" s="60">
        <v>2</v>
      </c>
      <c r="I59" s="66" t="s">
        <v>52</v>
      </c>
      <c r="J59" s="66"/>
      <c r="K59" s="66"/>
      <c r="L59" s="66"/>
      <c r="M59" s="66"/>
    </row>
    <row r="60" spans="1:13" x14ac:dyDescent="0.25">
      <c r="B60" s="62" t="s">
        <v>44</v>
      </c>
      <c r="C60" s="62" t="s">
        <v>46</v>
      </c>
      <c r="I60" s="4" t="s">
        <v>51</v>
      </c>
      <c r="J60" s="69">
        <v>50</v>
      </c>
      <c r="K60" s="69">
        <v>45</v>
      </c>
      <c r="L60" s="69">
        <v>60</v>
      </c>
      <c r="M60" s="70">
        <v>70</v>
      </c>
    </row>
    <row r="61" spans="1:13" x14ac:dyDescent="0.25">
      <c r="B61">
        <v>120</v>
      </c>
      <c r="C61">
        <v>50</v>
      </c>
      <c r="E61" s="65" t="s">
        <v>49</v>
      </c>
      <c r="F61" s="64" t="s">
        <v>50</v>
      </c>
      <c r="I61" s="67">
        <v>120</v>
      </c>
      <c r="J61" s="71"/>
      <c r="K61" s="72"/>
      <c r="L61" s="72"/>
      <c r="M61" s="73"/>
    </row>
    <row r="62" spans="1:13" x14ac:dyDescent="0.25">
      <c r="B62">
        <v>140</v>
      </c>
      <c r="C62">
        <v>45</v>
      </c>
      <c r="I62" s="67">
        <v>140</v>
      </c>
      <c r="J62" s="74"/>
      <c r="K62" s="75"/>
      <c r="L62" s="75"/>
      <c r="M62" s="76"/>
    </row>
    <row r="63" spans="1:13" x14ac:dyDescent="0.25">
      <c r="B63">
        <v>150</v>
      </c>
      <c r="C63">
        <v>60</v>
      </c>
      <c r="I63" s="67">
        <v>150</v>
      </c>
      <c r="J63" s="74"/>
      <c r="K63" s="75"/>
      <c r="L63" s="75"/>
      <c r="M63" s="76"/>
    </row>
    <row r="64" spans="1:13" x14ac:dyDescent="0.25">
      <c r="B64">
        <v>160</v>
      </c>
      <c r="C64">
        <v>70</v>
      </c>
      <c r="I64" s="68">
        <v>160</v>
      </c>
      <c r="J64" s="77"/>
      <c r="K64" s="78"/>
      <c r="L64" s="78"/>
      <c r="M64" s="79"/>
    </row>
    <row r="70" spans="1:11" x14ac:dyDescent="0.25">
      <c r="A70" s="7" t="s">
        <v>53</v>
      </c>
      <c r="K70" s="26"/>
    </row>
    <row r="71" spans="1:11" ht="15.75" thickBot="1" x14ac:dyDescent="0.3"/>
    <row r="72" spans="1:11" ht="15.75" thickBot="1" x14ac:dyDescent="0.3">
      <c r="B72" s="27"/>
      <c r="C72" s="28" t="s">
        <v>11</v>
      </c>
    </row>
    <row r="73" spans="1:11" x14ac:dyDescent="0.25">
      <c r="B73" s="29" t="s">
        <v>6</v>
      </c>
      <c r="C73" s="30">
        <v>235</v>
      </c>
    </row>
    <row r="74" spans="1:11" x14ac:dyDescent="0.25">
      <c r="B74" s="29" t="s">
        <v>12</v>
      </c>
      <c r="C74" s="31">
        <v>544</v>
      </c>
    </row>
    <row r="75" spans="1:11" x14ac:dyDescent="0.25">
      <c r="B75" s="29" t="s">
        <v>13</v>
      </c>
      <c r="C75" s="31">
        <v>829</v>
      </c>
    </row>
    <row r="76" spans="1:11" ht="15.75" thickBot="1" x14ac:dyDescent="0.3">
      <c r="B76" s="32" t="s">
        <v>14</v>
      </c>
      <c r="C76" s="33">
        <v>610</v>
      </c>
    </row>
    <row r="78" spans="1:11" x14ac:dyDescent="0.25">
      <c r="B78" s="9" t="s">
        <v>15</v>
      </c>
      <c r="C78" s="45"/>
    </row>
    <row r="79" spans="1:11" x14ac:dyDescent="0.25">
      <c r="B79" s="9" t="s">
        <v>16</v>
      </c>
      <c r="C79" s="46"/>
    </row>
    <row r="80" spans="1:11" x14ac:dyDescent="0.25">
      <c r="B80" s="9" t="s">
        <v>54</v>
      </c>
      <c r="C80" s="46"/>
    </row>
    <row r="81" spans="1:3" x14ac:dyDescent="0.25">
      <c r="B81" s="9" t="s">
        <v>17</v>
      </c>
      <c r="C81" s="45"/>
    </row>
    <row r="82" spans="1:3" x14ac:dyDescent="0.25">
      <c r="B82" s="9" t="s">
        <v>18</v>
      </c>
      <c r="C82" s="45"/>
    </row>
    <row r="83" spans="1:3" ht="15.75" thickBot="1" x14ac:dyDescent="0.3"/>
    <row r="84" spans="1:3" ht="15.75" thickBot="1" x14ac:dyDescent="0.3">
      <c r="B84" s="9" t="s">
        <v>19</v>
      </c>
      <c r="C84" s="47"/>
    </row>
    <row r="89" spans="1:3" x14ac:dyDescent="0.25">
      <c r="A89" s="7" t="s">
        <v>28</v>
      </c>
    </row>
    <row r="91" spans="1:3" x14ac:dyDescent="0.25">
      <c r="C91" s="12" t="s">
        <v>20</v>
      </c>
    </row>
    <row r="92" spans="1:3" x14ac:dyDescent="0.25">
      <c r="B92" s="12" t="s">
        <v>1</v>
      </c>
      <c r="C92">
        <v>500</v>
      </c>
    </row>
    <row r="93" spans="1:3" x14ac:dyDescent="0.25">
      <c r="B93" s="12" t="s">
        <v>2</v>
      </c>
      <c r="C93">
        <v>350</v>
      </c>
    </row>
    <row r="94" spans="1:3" x14ac:dyDescent="0.25">
      <c r="B94" s="12" t="s">
        <v>3</v>
      </c>
      <c r="C94">
        <v>495</v>
      </c>
    </row>
    <row r="95" spans="1:3" x14ac:dyDescent="0.25">
      <c r="B95" s="12" t="s">
        <v>21</v>
      </c>
      <c r="C95">
        <v>620</v>
      </c>
    </row>
    <row r="97" spans="1:5" x14ac:dyDescent="0.25">
      <c r="B97" s="9" t="s">
        <v>22</v>
      </c>
      <c r="C97" s="34"/>
      <c r="D97" s="35"/>
      <c r="E97" s="35"/>
    </row>
    <row r="99" spans="1:5" x14ac:dyDescent="0.25">
      <c r="B99" s="9" t="s">
        <v>23</v>
      </c>
      <c r="C99" s="34"/>
      <c r="D99" s="35"/>
      <c r="E99" s="35"/>
    </row>
    <row r="101" spans="1:5" x14ac:dyDescent="0.25">
      <c r="B101" s="9" t="s">
        <v>24</v>
      </c>
      <c r="C101" s="34"/>
    </row>
    <row r="103" spans="1:5" x14ac:dyDescent="0.25">
      <c r="A103" s="66" t="s">
        <v>140</v>
      </c>
      <c r="C103" s="89"/>
    </row>
    <row r="105" spans="1:5" x14ac:dyDescent="0.25">
      <c r="A105" s="66" t="s">
        <v>141</v>
      </c>
      <c r="C105" s="89"/>
    </row>
    <row r="114" spans="1:3" x14ac:dyDescent="0.25">
      <c r="A114" s="7" t="s">
        <v>29</v>
      </c>
    </row>
    <row r="115" spans="1:3" ht="15.75" thickBot="1" x14ac:dyDescent="0.3"/>
    <row r="116" spans="1:3" x14ac:dyDescent="0.25">
      <c r="B116" s="36" t="s">
        <v>8</v>
      </c>
      <c r="C116" s="37">
        <v>0.06</v>
      </c>
    </row>
    <row r="117" spans="1:3" x14ac:dyDescent="0.25">
      <c r="B117" s="38"/>
      <c r="C117" s="39"/>
    </row>
    <row r="118" spans="1:3" x14ac:dyDescent="0.25">
      <c r="B118" s="38" t="s">
        <v>25</v>
      </c>
      <c r="C118" s="39">
        <v>100</v>
      </c>
    </row>
    <row r="119" spans="1:3" ht="15.75" thickBot="1" x14ac:dyDescent="0.3">
      <c r="B119" s="38" t="s">
        <v>9</v>
      </c>
      <c r="C119" s="40">
        <f>C118*C116</f>
        <v>6</v>
      </c>
    </row>
    <row r="120" spans="1:3" ht="15.75" thickBot="1" x14ac:dyDescent="0.3">
      <c r="B120" s="41" t="s">
        <v>7</v>
      </c>
      <c r="C120" s="42">
        <f>SUM(C118:C119)</f>
        <v>106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opLeftCell="A10" workbookViewId="0">
      <selection activeCell="B21" sqref="B21"/>
    </sheetView>
  </sheetViews>
  <sheetFormatPr defaultRowHeight="15" x14ac:dyDescent="0.25"/>
  <cols>
    <col min="1" max="1" width="15.140625" customWidth="1"/>
    <col min="2" max="2" width="15.42578125" customWidth="1"/>
    <col min="3" max="3" width="14.7109375" customWidth="1"/>
  </cols>
  <sheetData>
    <row r="1" spans="1:3" x14ac:dyDescent="0.25">
      <c r="A1" s="80" t="s">
        <v>55</v>
      </c>
      <c r="B1" s="80" t="s">
        <v>56</v>
      </c>
      <c r="C1" s="80" t="s">
        <v>57</v>
      </c>
    </row>
    <row r="2" spans="1:3" x14ac:dyDescent="0.25">
      <c r="A2" s="62">
        <v>2345</v>
      </c>
      <c r="B2" s="62">
        <v>500</v>
      </c>
      <c r="C2" s="93">
        <v>15</v>
      </c>
    </row>
    <row r="3" spans="1:3" x14ac:dyDescent="0.25">
      <c r="A3" s="62">
        <v>5457</v>
      </c>
      <c r="B3" s="62">
        <v>234</v>
      </c>
      <c r="C3" s="93">
        <v>28</v>
      </c>
    </row>
    <row r="4" spans="1:3" x14ac:dyDescent="0.25">
      <c r="A4" s="62">
        <v>9823</v>
      </c>
      <c r="B4" s="62">
        <v>155</v>
      </c>
      <c r="C4" s="93">
        <v>13</v>
      </c>
    </row>
    <row r="5" spans="1:3" x14ac:dyDescent="0.25">
      <c r="A5" s="62">
        <v>1233</v>
      </c>
      <c r="B5" s="62">
        <v>122</v>
      </c>
      <c r="C5" s="93">
        <v>12</v>
      </c>
    </row>
    <row r="6" spans="1:3" x14ac:dyDescent="0.25">
      <c r="A6" s="62">
        <v>2344</v>
      </c>
      <c r="B6" s="62">
        <v>166</v>
      </c>
      <c r="C6" s="93">
        <v>24</v>
      </c>
    </row>
    <row r="7" spans="1:3" x14ac:dyDescent="0.25">
      <c r="A7" s="62">
        <v>3363</v>
      </c>
      <c r="B7" s="62">
        <v>145</v>
      </c>
      <c r="C7" s="93">
        <v>65</v>
      </c>
    </row>
    <row r="8" spans="1:3" x14ac:dyDescent="0.25">
      <c r="A8" s="62">
        <v>5149</v>
      </c>
      <c r="B8" s="62">
        <v>150</v>
      </c>
      <c r="C8" s="93">
        <v>44</v>
      </c>
    </row>
    <row r="9" spans="1:3" x14ac:dyDescent="0.25">
      <c r="A9" s="62">
        <v>5329</v>
      </c>
      <c r="B9" s="62">
        <v>320</v>
      </c>
      <c r="C9" s="93">
        <v>61</v>
      </c>
    </row>
    <row r="10" spans="1:3" x14ac:dyDescent="0.25">
      <c r="A10" s="62">
        <v>6133</v>
      </c>
      <c r="B10" s="62">
        <v>300</v>
      </c>
      <c r="C10" s="93">
        <v>10</v>
      </c>
    </row>
    <row r="11" spans="1:3" x14ac:dyDescent="0.25">
      <c r="A11" s="62">
        <v>2700</v>
      </c>
      <c r="B11" s="62">
        <v>80</v>
      </c>
      <c r="C11" s="93">
        <v>34</v>
      </c>
    </row>
    <row r="12" spans="1:3" x14ac:dyDescent="0.25">
      <c r="A12" s="62">
        <v>5430</v>
      </c>
      <c r="B12" s="62">
        <v>15</v>
      </c>
      <c r="C12" s="93">
        <v>39</v>
      </c>
    </row>
    <row r="13" spans="1:3" x14ac:dyDescent="0.25">
      <c r="A13" s="62">
        <v>5088</v>
      </c>
      <c r="B13" s="62">
        <v>410</v>
      </c>
      <c r="C13" s="93">
        <v>38</v>
      </c>
    </row>
    <row r="17" spans="1:3" x14ac:dyDescent="0.25">
      <c r="A17" t="s">
        <v>58</v>
      </c>
    </row>
    <row r="19" spans="1:3" x14ac:dyDescent="0.25">
      <c r="A19" t="s">
        <v>59</v>
      </c>
      <c r="B19" s="61">
        <v>6133</v>
      </c>
    </row>
    <row r="20" spans="1:3" x14ac:dyDescent="0.25">
      <c r="A20" t="s">
        <v>60</v>
      </c>
    </row>
    <row r="21" spans="1:3" x14ac:dyDescent="0.25">
      <c r="A21" t="s">
        <v>57</v>
      </c>
      <c r="B21" s="63"/>
      <c r="C21" s="64" t="s">
        <v>61</v>
      </c>
    </row>
    <row r="22" spans="1:3" x14ac:dyDescent="0.25">
      <c r="A22" t="s">
        <v>56</v>
      </c>
      <c r="C22" s="64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70"/>
  <sheetViews>
    <sheetView topLeftCell="A70" workbookViewId="0">
      <selection activeCell="C73" sqref="C73"/>
    </sheetView>
  </sheetViews>
  <sheetFormatPr defaultRowHeight="15" x14ac:dyDescent="0.25"/>
  <cols>
    <col min="2" max="2" width="32.140625" customWidth="1"/>
    <col min="3" max="3" width="10.42578125" customWidth="1"/>
  </cols>
  <sheetData>
    <row r="2" spans="1:13" x14ac:dyDescent="0.25">
      <c r="A2" s="7" t="s">
        <v>77</v>
      </c>
    </row>
    <row r="3" spans="1:13" x14ac:dyDescent="0.25">
      <c r="A3" s="7"/>
    </row>
    <row r="4" spans="1:13" x14ac:dyDescent="0.25">
      <c r="A4" s="81" t="s">
        <v>63</v>
      </c>
      <c r="H4" s="62" t="s">
        <v>76</v>
      </c>
      <c r="I4" s="62">
        <v>1958</v>
      </c>
      <c r="J4" s="62">
        <v>1959</v>
      </c>
      <c r="K4" s="62">
        <v>1960</v>
      </c>
      <c r="M4" t="s">
        <v>137</v>
      </c>
    </row>
    <row r="5" spans="1:13" x14ac:dyDescent="0.25">
      <c r="A5" s="81" t="s">
        <v>64</v>
      </c>
      <c r="H5" s="61"/>
      <c r="I5" s="61"/>
      <c r="J5" s="61"/>
      <c r="K5" s="61"/>
    </row>
    <row r="6" spans="1:13" x14ac:dyDescent="0.25">
      <c r="A6" s="81" t="s">
        <v>65</v>
      </c>
      <c r="H6" s="61"/>
      <c r="I6" s="61"/>
      <c r="J6" s="61"/>
      <c r="K6" s="61"/>
    </row>
    <row r="7" spans="1:13" x14ac:dyDescent="0.25">
      <c r="A7" s="81" t="s">
        <v>66</v>
      </c>
      <c r="H7" s="61"/>
      <c r="I7" s="61"/>
      <c r="J7" s="61"/>
      <c r="K7" s="61"/>
    </row>
    <row r="8" spans="1:13" x14ac:dyDescent="0.25">
      <c r="A8" s="81" t="s">
        <v>67</v>
      </c>
      <c r="H8" s="61"/>
      <c r="I8" s="61"/>
      <c r="J8" s="61"/>
      <c r="K8" s="61"/>
    </row>
    <row r="9" spans="1:13" x14ac:dyDescent="0.25">
      <c r="A9" s="81" t="s">
        <v>68</v>
      </c>
      <c r="H9" s="61"/>
      <c r="I9" s="61"/>
      <c r="J9" s="61"/>
      <c r="K9" s="61"/>
    </row>
    <row r="10" spans="1:13" x14ac:dyDescent="0.25">
      <c r="A10" s="81" t="s">
        <v>69</v>
      </c>
      <c r="H10" s="61"/>
      <c r="I10" s="61"/>
      <c r="J10" s="61"/>
      <c r="K10" s="61"/>
    </row>
    <row r="11" spans="1:13" x14ac:dyDescent="0.25">
      <c r="A11" s="81" t="s">
        <v>70</v>
      </c>
      <c r="H11" s="61"/>
      <c r="I11" s="61"/>
      <c r="J11" s="61"/>
      <c r="K11" s="61"/>
    </row>
    <row r="12" spans="1:13" x14ac:dyDescent="0.25">
      <c r="A12" s="81" t="s">
        <v>71</v>
      </c>
      <c r="H12" s="61"/>
      <c r="I12" s="61"/>
      <c r="J12" s="61"/>
      <c r="K12" s="61"/>
    </row>
    <row r="13" spans="1:13" x14ac:dyDescent="0.25">
      <c r="A13" s="81" t="s">
        <v>72</v>
      </c>
      <c r="H13" s="61"/>
      <c r="I13" s="61"/>
      <c r="J13" s="61"/>
      <c r="K13" s="61"/>
    </row>
    <row r="14" spans="1:13" x14ac:dyDescent="0.25">
      <c r="A14" s="81" t="s">
        <v>73</v>
      </c>
      <c r="H14" s="61"/>
      <c r="I14" s="61"/>
      <c r="J14" s="61"/>
      <c r="K14" s="61"/>
    </row>
    <row r="15" spans="1:13" x14ac:dyDescent="0.25">
      <c r="A15" s="81" t="s">
        <v>74</v>
      </c>
      <c r="H15" s="61"/>
      <c r="I15" s="61"/>
      <c r="J15" s="61"/>
      <c r="K15" s="61"/>
    </row>
    <row r="16" spans="1:13" x14ac:dyDescent="0.25">
      <c r="A16" s="81" t="s">
        <v>75</v>
      </c>
      <c r="H16" s="61"/>
      <c r="I16" s="61"/>
      <c r="J16" s="61"/>
      <c r="K16" s="61"/>
    </row>
    <row r="21" spans="1:13" x14ac:dyDescent="0.25">
      <c r="A21" s="81" t="s">
        <v>89</v>
      </c>
      <c r="G21" s="81" t="s">
        <v>88</v>
      </c>
      <c r="H21" t="s">
        <v>90</v>
      </c>
      <c r="I21" t="s">
        <v>91</v>
      </c>
      <c r="J21" t="s">
        <v>92</v>
      </c>
      <c r="K21" t="s">
        <v>93</v>
      </c>
      <c r="M21" t="s">
        <v>138</v>
      </c>
    </row>
    <row r="22" spans="1:13" x14ac:dyDescent="0.25">
      <c r="A22" s="81" t="s">
        <v>78</v>
      </c>
      <c r="G22" s="61"/>
      <c r="H22" s="61"/>
      <c r="I22" s="61"/>
      <c r="J22" s="61"/>
      <c r="K22" s="61"/>
    </row>
    <row r="23" spans="1:13" x14ac:dyDescent="0.25">
      <c r="A23" s="81" t="s">
        <v>79</v>
      </c>
      <c r="G23" s="61"/>
      <c r="H23" s="61"/>
      <c r="I23" s="61"/>
      <c r="J23" s="61"/>
      <c r="K23" s="61"/>
    </row>
    <row r="24" spans="1:13" x14ac:dyDescent="0.25">
      <c r="A24" s="81" t="s">
        <v>80</v>
      </c>
      <c r="G24" s="61"/>
      <c r="H24" s="61"/>
      <c r="I24" s="61"/>
      <c r="J24" s="61"/>
      <c r="K24" s="61"/>
    </row>
    <row r="25" spans="1:13" x14ac:dyDescent="0.25">
      <c r="A25" s="81" t="s">
        <v>81</v>
      </c>
      <c r="G25" s="61"/>
      <c r="H25" s="61"/>
      <c r="I25" s="61"/>
      <c r="J25" s="61"/>
      <c r="K25" s="61"/>
    </row>
    <row r="26" spans="1:13" x14ac:dyDescent="0.25">
      <c r="A26" s="81" t="s">
        <v>82</v>
      </c>
      <c r="G26" s="61"/>
      <c r="H26" s="61"/>
      <c r="I26" s="61"/>
      <c r="J26" s="61"/>
      <c r="K26" s="61"/>
    </row>
    <row r="27" spans="1:13" x14ac:dyDescent="0.25">
      <c r="A27" s="81" t="s">
        <v>84</v>
      </c>
      <c r="G27" s="61"/>
      <c r="H27" s="61"/>
      <c r="I27" s="61"/>
      <c r="J27" s="61"/>
      <c r="K27" s="61"/>
    </row>
    <row r="28" spans="1:13" x14ac:dyDescent="0.25">
      <c r="A28" s="81" t="s">
        <v>85</v>
      </c>
      <c r="G28" s="61"/>
      <c r="H28" s="61"/>
      <c r="I28" s="61"/>
      <c r="J28" s="61"/>
      <c r="K28" s="61"/>
    </row>
    <row r="29" spans="1:13" x14ac:dyDescent="0.25">
      <c r="A29" s="81" t="s">
        <v>87</v>
      </c>
      <c r="G29" s="61"/>
      <c r="H29" s="61"/>
      <c r="I29" s="61"/>
      <c r="J29" s="61"/>
      <c r="K29" s="61"/>
    </row>
    <row r="30" spans="1:13" x14ac:dyDescent="0.25">
      <c r="A30" s="81" t="s">
        <v>83</v>
      </c>
      <c r="G30" s="61"/>
      <c r="H30" s="61"/>
      <c r="I30" s="61"/>
      <c r="J30" s="61"/>
      <c r="K30" s="61"/>
    </row>
    <row r="31" spans="1:13" x14ac:dyDescent="0.25">
      <c r="A31" s="81" t="s">
        <v>86</v>
      </c>
      <c r="G31" s="61"/>
      <c r="H31" s="61"/>
      <c r="I31" s="61"/>
      <c r="J31" s="61"/>
      <c r="K31" s="61"/>
    </row>
    <row r="32" spans="1:13" x14ac:dyDescent="0.25">
      <c r="A32" s="81"/>
      <c r="G32" s="61"/>
      <c r="H32" s="61"/>
      <c r="I32" s="61"/>
      <c r="J32" s="61"/>
      <c r="K32" s="61"/>
    </row>
    <row r="34" spans="1:5" x14ac:dyDescent="0.25">
      <c r="A34" s="7" t="s">
        <v>131</v>
      </c>
    </row>
    <row r="35" spans="1:5" x14ac:dyDescent="0.25">
      <c r="A35" s="83" t="s">
        <v>129</v>
      </c>
      <c r="B35" s="84" t="s">
        <v>130</v>
      </c>
      <c r="C35" s="66" t="s">
        <v>130</v>
      </c>
    </row>
    <row r="36" spans="1:5" x14ac:dyDescent="0.25">
      <c r="A36" s="82">
        <v>1</v>
      </c>
      <c r="B36" s="85" t="s">
        <v>94</v>
      </c>
      <c r="C36" s="61">
        <v>5379</v>
      </c>
      <c r="E36" t="s">
        <v>139</v>
      </c>
    </row>
    <row r="37" spans="1:5" x14ac:dyDescent="0.25">
      <c r="A37" s="82">
        <v>2</v>
      </c>
      <c r="B37" s="82" t="s">
        <v>95</v>
      </c>
      <c r="C37" s="61"/>
    </row>
    <row r="38" spans="1:5" x14ac:dyDescent="0.25">
      <c r="A38" s="82">
        <v>3</v>
      </c>
      <c r="B38" s="82" t="s">
        <v>96</v>
      </c>
      <c r="C38" s="61"/>
    </row>
    <row r="39" spans="1:5" x14ac:dyDescent="0.25">
      <c r="A39" s="82">
        <v>4</v>
      </c>
      <c r="B39" s="82" t="s">
        <v>97</v>
      </c>
      <c r="C39" s="61"/>
    </row>
    <row r="40" spans="1:5" x14ac:dyDescent="0.25">
      <c r="A40" s="82">
        <v>5</v>
      </c>
      <c r="B40" s="82" t="s">
        <v>98</v>
      </c>
      <c r="C40" s="61"/>
    </row>
    <row r="41" spans="1:5" x14ac:dyDescent="0.25">
      <c r="A41" s="82">
        <v>6</v>
      </c>
      <c r="B41" s="82" t="s">
        <v>99</v>
      </c>
      <c r="C41" s="61"/>
    </row>
    <row r="42" spans="1:5" x14ac:dyDescent="0.25">
      <c r="A42" s="82">
        <v>7</v>
      </c>
      <c r="B42" s="82" t="s">
        <v>100</v>
      </c>
      <c r="C42" s="61"/>
    </row>
    <row r="43" spans="1:5" x14ac:dyDescent="0.25">
      <c r="A43" s="82">
        <v>8</v>
      </c>
      <c r="B43" s="82" t="s">
        <v>101</v>
      </c>
      <c r="C43" s="61"/>
    </row>
    <row r="44" spans="1:5" x14ac:dyDescent="0.25">
      <c r="A44" s="82">
        <v>9</v>
      </c>
      <c r="B44" s="82" t="s">
        <v>102</v>
      </c>
      <c r="C44" s="61"/>
    </row>
    <row r="45" spans="1:5" x14ac:dyDescent="0.25">
      <c r="A45" s="82">
        <v>10</v>
      </c>
      <c r="B45" s="82" t="s">
        <v>103</v>
      </c>
      <c r="C45" s="61"/>
    </row>
    <row r="46" spans="1:5" x14ac:dyDescent="0.25">
      <c r="A46" s="82">
        <v>11</v>
      </c>
      <c r="B46" s="82" t="s">
        <v>104</v>
      </c>
      <c r="C46" s="61"/>
    </row>
    <row r="47" spans="1:5" x14ac:dyDescent="0.25">
      <c r="A47" s="82">
        <v>12</v>
      </c>
      <c r="B47" s="82" t="s">
        <v>105</v>
      </c>
      <c r="C47" s="61"/>
    </row>
    <row r="48" spans="1:5" x14ac:dyDescent="0.25">
      <c r="A48" s="82">
        <v>13</v>
      </c>
      <c r="B48" s="82" t="s">
        <v>106</v>
      </c>
      <c r="C48" s="61"/>
    </row>
    <row r="49" spans="1:3" x14ac:dyDescent="0.25">
      <c r="A49" s="82">
        <v>14</v>
      </c>
      <c r="B49" s="82" t="s">
        <v>107</v>
      </c>
      <c r="C49" s="61"/>
    </row>
    <row r="50" spans="1:3" x14ac:dyDescent="0.25">
      <c r="A50" s="82">
        <v>15</v>
      </c>
      <c r="B50" s="82" t="s">
        <v>108</v>
      </c>
      <c r="C50" s="61"/>
    </row>
    <row r="51" spans="1:3" x14ac:dyDescent="0.25">
      <c r="A51" s="82">
        <v>16</v>
      </c>
      <c r="B51" s="82" t="s">
        <v>109</v>
      </c>
      <c r="C51" s="61"/>
    </row>
    <row r="52" spans="1:3" x14ac:dyDescent="0.25">
      <c r="A52" s="82">
        <v>17</v>
      </c>
      <c r="B52" s="82" t="s">
        <v>110</v>
      </c>
      <c r="C52" s="61"/>
    </row>
    <row r="53" spans="1:3" x14ac:dyDescent="0.25">
      <c r="A53" s="82">
        <v>18</v>
      </c>
      <c r="B53" s="82" t="s">
        <v>111</v>
      </c>
      <c r="C53" s="61"/>
    </row>
    <row r="54" spans="1:3" x14ac:dyDescent="0.25">
      <c r="A54" s="82">
        <v>19</v>
      </c>
      <c r="B54" s="82" t="s">
        <v>112</v>
      </c>
      <c r="C54" s="61"/>
    </row>
    <row r="55" spans="1:3" x14ac:dyDescent="0.25">
      <c r="A55" s="82">
        <v>20</v>
      </c>
      <c r="B55" s="82" t="s">
        <v>113</v>
      </c>
      <c r="C55" s="61"/>
    </row>
    <row r="56" spans="1:3" x14ac:dyDescent="0.25">
      <c r="A56" s="82">
        <v>21</v>
      </c>
      <c r="B56" s="82" t="s">
        <v>114</v>
      </c>
      <c r="C56" s="61"/>
    </row>
    <row r="57" spans="1:3" x14ac:dyDescent="0.25">
      <c r="A57" s="82">
        <v>22</v>
      </c>
      <c r="B57" s="82" t="s">
        <v>115</v>
      </c>
      <c r="C57" s="61"/>
    </row>
    <row r="58" spans="1:3" x14ac:dyDescent="0.25">
      <c r="A58" s="82">
        <v>23</v>
      </c>
      <c r="B58" s="82" t="s">
        <v>116</v>
      </c>
      <c r="C58" s="61"/>
    </row>
    <row r="59" spans="1:3" x14ac:dyDescent="0.25">
      <c r="A59" s="82">
        <v>24</v>
      </c>
      <c r="B59" s="82" t="s">
        <v>117</v>
      </c>
      <c r="C59" s="61"/>
    </row>
    <row r="60" spans="1:3" x14ac:dyDescent="0.25">
      <c r="A60" s="82">
        <v>25</v>
      </c>
      <c r="B60" s="82" t="s">
        <v>118</v>
      </c>
      <c r="C60" s="61"/>
    </row>
    <row r="61" spans="1:3" x14ac:dyDescent="0.25">
      <c r="A61" s="82">
        <v>26</v>
      </c>
      <c r="B61" s="82" t="s">
        <v>119</v>
      </c>
      <c r="C61" s="61"/>
    </row>
    <row r="62" spans="1:3" x14ac:dyDescent="0.25">
      <c r="A62" s="82">
        <v>27</v>
      </c>
      <c r="B62" s="82" t="s">
        <v>120</v>
      </c>
      <c r="C62" s="61"/>
    </row>
    <row r="63" spans="1:3" x14ac:dyDescent="0.25">
      <c r="A63" s="82">
        <v>28</v>
      </c>
      <c r="B63" s="82" t="s">
        <v>121</v>
      </c>
      <c r="C63" s="61"/>
    </row>
    <row r="64" spans="1:3" x14ac:dyDescent="0.25">
      <c r="A64" s="82">
        <v>29</v>
      </c>
      <c r="B64" s="82" t="s">
        <v>122</v>
      </c>
      <c r="C64" s="61"/>
    </row>
    <row r="65" spans="1:3" x14ac:dyDescent="0.25">
      <c r="A65" s="82">
        <v>30</v>
      </c>
      <c r="B65" s="82" t="s">
        <v>123</v>
      </c>
      <c r="C65" s="61"/>
    </row>
    <row r="66" spans="1:3" x14ac:dyDescent="0.25">
      <c r="A66" s="82">
        <v>31</v>
      </c>
      <c r="B66" s="82" t="s">
        <v>124</v>
      </c>
      <c r="C66" s="61"/>
    </row>
    <row r="67" spans="1:3" x14ac:dyDescent="0.25">
      <c r="A67" s="82">
        <v>32</v>
      </c>
      <c r="B67" s="82" t="s">
        <v>125</v>
      </c>
      <c r="C67" s="61"/>
    </row>
    <row r="68" spans="1:3" x14ac:dyDescent="0.25">
      <c r="A68" s="82">
        <v>33</v>
      </c>
      <c r="B68" s="82" t="s">
        <v>126</v>
      </c>
      <c r="C68" s="61"/>
    </row>
    <row r="69" spans="1:3" x14ac:dyDescent="0.25">
      <c r="A69" s="82">
        <v>34</v>
      </c>
      <c r="B69" s="82" t="s">
        <v>127</v>
      </c>
      <c r="C69" s="61"/>
    </row>
    <row r="70" spans="1:3" x14ac:dyDescent="0.25">
      <c r="A70" s="82">
        <v>35</v>
      </c>
      <c r="B70" s="82" t="s">
        <v>128</v>
      </c>
      <c r="C70" s="6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opLeftCell="A34" workbookViewId="0">
      <selection activeCell="E17" sqref="E17"/>
    </sheetView>
  </sheetViews>
  <sheetFormatPr defaultRowHeight="15" x14ac:dyDescent="0.25"/>
  <cols>
    <col min="1" max="1" width="9.42578125" customWidth="1"/>
    <col min="2" max="2" width="10.28515625" customWidth="1"/>
    <col min="3" max="3" width="9.7109375" customWidth="1"/>
    <col min="6" max="6" width="19" customWidth="1"/>
  </cols>
  <sheetData>
    <row r="1" spans="1:7" x14ac:dyDescent="0.25">
      <c r="A1" s="7" t="s">
        <v>135</v>
      </c>
      <c r="B1" s="7" t="s">
        <v>136</v>
      </c>
    </row>
    <row r="3" spans="1:7" x14ac:dyDescent="0.25">
      <c r="A3" s="86" t="s">
        <v>132</v>
      </c>
      <c r="B3" s="87" t="s">
        <v>76</v>
      </c>
      <c r="C3" s="88" t="s">
        <v>42</v>
      </c>
      <c r="F3" s="4" t="s">
        <v>133</v>
      </c>
    </row>
    <row r="4" spans="1:7" x14ac:dyDescent="0.25">
      <c r="A4" s="50">
        <v>4</v>
      </c>
      <c r="B4" s="1">
        <v>9</v>
      </c>
      <c r="C4" s="51">
        <v>1957</v>
      </c>
      <c r="F4" s="90"/>
      <c r="G4" s="64" t="s">
        <v>134</v>
      </c>
    </row>
    <row r="5" spans="1:7" x14ac:dyDescent="0.25">
      <c r="A5" s="52">
        <v>25</v>
      </c>
      <c r="B5" s="2">
        <v>7</v>
      </c>
      <c r="C5" s="53">
        <v>2000</v>
      </c>
      <c r="F5" s="91"/>
    </row>
    <row r="6" spans="1:7" x14ac:dyDescent="0.25">
      <c r="A6" s="52">
        <v>8</v>
      </c>
      <c r="B6" s="2">
        <v>4</v>
      </c>
      <c r="C6" s="53">
        <v>1966</v>
      </c>
      <c r="F6" s="91"/>
    </row>
    <row r="7" spans="1:7" x14ac:dyDescent="0.25">
      <c r="A7" s="52">
        <v>18</v>
      </c>
      <c r="B7" s="2">
        <v>8</v>
      </c>
      <c r="C7" s="53">
        <v>1972</v>
      </c>
      <c r="F7" s="91"/>
    </row>
    <row r="8" spans="1:7" x14ac:dyDescent="0.25">
      <c r="A8" s="52">
        <v>26</v>
      </c>
      <c r="B8" s="2">
        <v>12</v>
      </c>
      <c r="C8" s="53">
        <v>1992</v>
      </c>
      <c r="F8" s="91"/>
    </row>
    <row r="9" spans="1:7" x14ac:dyDescent="0.25">
      <c r="A9" s="52">
        <v>26</v>
      </c>
      <c r="B9" s="2">
        <v>6</v>
      </c>
      <c r="C9" s="53">
        <v>1978</v>
      </c>
      <c r="F9" s="91"/>
    </row>
    <row r="10" spans="1:7" x14ac:dyDescent="0.25">
      <c r="A10" s="52">
        <v>14</v>
      </c>
      <c r="B10" s="2">
        <v>4</v>
      </c>
      <c r="C10" s="53">
        <v>1999</v>
      </c>
      <c r="F10" s="91"/>
    </row>
    <row r="11" spans="1:7" x14ac:dyDescent="0.25">
      <c r="A11" s="52">
        <v>19</v>
      </c>
      <c r="B11" s="2">
        <v>10</v>
      </c>
      <c r="C11" s="53">
        <v>1990</v>
      </c>
      <c r="F11" s="91"/>
    </row>
    <row r="12" spans="1:7" x14ac:dyDescent="0.25">
      <c r="A12" s="52">
        <v>4</v>
      </c>
      <c r="B12" s="2">
        <v>2</v>
      </c>
      <c r="C12" s="53">
        <v>1965</v>
      </c>
      <c r="F12" s="91"/>
    </row>
    <row r="13" spans="1:7" x14ac:dyDescent="0.25">
      <c r="A13" s="52">
        <v>14</v>
      </c>
      <c r="B13" s="2">
        <v>7</v>
      </c>
      <c r="C13" s="53">
        <v>1969</v>
      </c>
      <c r="F13" s="91"/>
    </row>
    <row r="14" spans="1:7" x14ac:dyDescent="0.25">
      <c r="A14" s="52">
        <v>6</v>
      </c>
      <c r="B14" s="2">
        <v>7</v>
      </c>
      <c r="C14" s="53">
        <v>1995</v>
      </c>
      <c r="F14" s="91"/>
    </row>
    <row r="15" spans="1:7" x14ac:dyDescent="0.25">
      <c r="A15" s="52">
        <v>8</v>
      </c>
      <c r="B15" s="2">
        <v>10</v>
      </c>
      <c r="C15" s="53">
        <v>1996</v>
      </c>
      <c r="F15" s="91"/>
    </row>
    <row r="16" spans="1:7" x14ac:dyDescent="0.25">
      <c r="A16" s="52">
        <v>29</v>
      </c>
      <c r="B16" s="2">
        <v>8</v>
      </c>
      <c r="C16" s="53">
        <v>1975</v>
      </c>
      <c r="F16" s="91"/>
    </row>
    <row r="17" spans="1:6" x14ac:dyDescent="0.25">
      <c r="A17" s="52">
        <v>22</v>
      </c>
      <c r="B17" s="2">
        <v>11</v>
      </c>
      <c r="C17" s="53">
        <v>1994</v>
      </c>
      <c r="F17" s="91"/>
    </row>
    <row r="18" spans="1:6" x14ac:dyDescent="0.25">
      <c r="A18" s="52">
        <v>28</v>
      </c>
      <c r="B18" s="2">
        <v>1</v>
      </c>
      <c r="C18" s="53">
        <v>1965</v>
      </c>
      <c r="F18" s="91"/>
    </row>
    <row r="19" spans="1:6" x14ac:dyDescent="0.25">
      <c r="A19" s="52">
        <v>4</v>
      </c>
      <c r="B19" s="2">
        <v>9</v>
      </c>
      <c r="C19" s="53">
        <v>1989</v>
      </c>
      <c r="F19" s="91"/>
    </row>
    <row r="20" spans="1:6" x14ac:dyDescent="0.25">
      <c r="A20" s="52">
        <v>2</v>
      </c>
      <c r="B20" s="2">
        <v>10</v>
      </c>
      <c r="C20" s="53">
        <v>1984</v>
      </c>
      <c r="F20" s="91"/>
    </row>
    <row r="21" spans="1:6" x14ac:dyDescent="0.25">
      <c r="A21" s="52">
        <v>22</v>
      </c>
      <c r="B21" s="2">
        <v>3</v>
      </c>
      <c r="C21" s="53">
        <v>2000</v>
      </c>
      <c r="F21" s="91"/>
    </row>
    <row r="22" spans="1:6" x14ac:dyDescent="0.25">
      <c r="A22" s="52">
        <v>7</v>
      </c>
      <c r="B22" s="2">
        <v>8</v>
      </c>
      <c r="C22" s="53">
        <v>1966</v>
      </c>
      <c r="F22" s="91"/>
    </row>
    <row r="23" spans="1:6" x14ac:dyDescent="0.25">
      <c r="A23" s="52">
        <v>25</v>
      </c>
      <c r="B23" s="2">
        <v>3</v>
      </c>
      <c r="C23" s="53">
        <v>1987</v>
      </c>
      <c r="F23" s="91"/>
    </row>
    <row r="24" spans="1:6" x14ac:dyDescent="0.25">
      <c r="A24" s="52">
        <v>3</v>
      </c>
      <c r="B24" s="2">
        <v>10</v>
      </c>
      <c r="C24" s="53">
        <v>1994</v>
      </c>
      <c r="F24" s="91"/>
    </row>
    <row r="25" spans="1:6" x14ac:dyDescent="0.25">
      <c r="A25" s="52">
        <v>25</v>
      </c>
      <c r="B25" s="2">
        <v>7</v>
      </c>
      <c r="C25" s="53">
        <v>1976</v>
      </c>
      <c r="F25" s="91"/>
    </row>
    <row r="26" spans="1:6" x14ac:dyDescent="0.25">
      <c r="A26" s="52">
        <v>26</v>
      </c>
      <c r="B26" s="2">
        <v>2</v>
      </c>
      <c r="C26" s="53">
        <v>1999</v>
      </c>
      <c r="F26" s="91"/>
    </row>
    <row r="27" spans="1:6" x14ac:dyDescent="0.25">
      <c r="A27" s="52">
        <v>8</v>
      </c>
      <c r="B27" s="2">
        <v>12</v>
      </c>
      <c r="C27" s="53">
        <v>1980</v>
      </c>
      <c r="F27" s="91"/>
    </row>
    <row r="28" spans="1:6" x14ac:dyDescent="0.25">
      <c r="A28" s="52">
        <v>6</v>
      </c>
      <c r="B28" s="2">
        <v>8</v>
      </c>
      <c r="C28" s="53">
        <v>1974</v>
      </c>
      <c r="F28" s="91"/>
    </row>
    <row r="29" spans="1:6" x14ac:dyDescent="0.25">
      <c r="A29" s="55">
        <v>24</v>
      </c>
      <c r="B29" s="3">
        <v>7</v>
      </c>
      <c r="C29" s="56">
        <v>1973</v>
      </c>
      <c r="F29" s="9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Formatting</vt:lpstr>
      <vt:lpstr>Formulas</vt:lpstr>
      <vt:lpstr>Vlookup</vt:lpstr>
      <vt:lpstr>Text to Columns</vt:lpstr>
      <vt:lpstr>Concatenate</vt:lpstr>
      <vt:lpstr>Formatting!cement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Olmas Isakov</dc:creator>
  <cp:lastModifiedBy>Olmas Isakov</cp:lastModifiedBy>
  <dcterms:created xsi:type="dcterms:W3CDTF">2020-01-06T09:32:23Z</dcterms:created>
  <dcterms:modified xsi:type="dcterms:W3CDTF">2020-01-09T06:29:35Z</dcterms:modified>
</cp:coreProperties>
</file>