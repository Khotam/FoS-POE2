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90" windowWidth="9315" windowHeight="6435" activeTab="1"/>
  </bookViews>
  <sheets>
    <sheet name="rankings" sheetId="2" r:id="rId1"/>
    <sheet name="movies" sheetId="6" r:id="rId2"/>
  </sheets>
  <definedNames>
    <definedName name="_xlnm._FilterDatabase" localSheetId="0" hidden="1">rankings!$A$1:$M$33</definedName>
  </definedNames>
  <calcPr calcId="145621"/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2" i="6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</calcChain>
</file>

<file path=xl/sharedStrings.xml><?xml version="1.0" encoding="utf-8"?>
<sst xmlns="http://schemas.openxmlformats.org/spreadsheetml/2006/main" count="161" uniqueCount="93">
  <si>
    <t>Name</t>
  </si>
  <si>
    <t>Country</t>
  </si>
  <si>
    <t>PEER</t>
  </si>
  <si>
    <t>RECRUIT</t>
  </si>
  <si>
    <t>INTLFAC</t>
  </si>
  <si>
    <t>INTLSTUD</t>
  </si>
  <si>
    <t>FtoS</t>
  </si>
  <si>
    <t>CtoF</t>
  </si>
  <si>
    <t>OVERALL</t>
  </si>
  <si>
    <t xml:space="preserve">University of Chicago </t>
  </si>
  <si>
    <t xml:space="preserve">Stanford University </t>
  </si>
  <si>
    <t xml:space="preserve">Johns Hopkins University </t>
  </si>
  <si>
    <t xml:space="preserve">University of California, Santa Barbara </t>
  </si>
  <si>
    <t xml:space="preserve">University of Pennsylvania </t>
  </si>
  <si>
    <t xml:space="preserve">University of California, Los Angeles </t>
  </si>
  <si>
    <t xml:space="preserve">University of North Carolina, Chapel Hill </t>
  </si>
  <si>
    <t xml:space="preserve">Humboldt University of Berlin </t>
  </si>
  <si>
    <t xml:space="preserve">University of Cambridge </t>
  </si>
  <si>
    <t xml:space="preserve">University of Bath </t>
  </si>
  <si>
    <t xml:space="preserve">University of Texas at Austin </t>
  </si>
  <si>
    <t xml:space="preserve">University of Karlsruhe </t>
  </si>
  <si>
    <t xml:space="preserve">California Institute of Technology </t>
  </si>
  <si>
    <t xml:space="preserve">University of St Andrews </t>
  </si>
  <si>
    <t xml:space="preserve">Free University of Berlin </t>
  </si>
  <si>
    <t xml:space="preserve">Duke University </t>
  </si>
  <si>
    <t xml:space="preserve">Ludwig-Maximilians University, Munich </t>
  </si>
  <si>
    <t xml:space="preserve">Cornell University </t>
  </si>
  <si>
    <t xml:space="preserve">Columbia University </t>
  </si>
  <si>
    <t xml:space="preserve">University of Sussex </t>
  </si>
  <si>
    <t xml:space="preserve">Boston University </t>
  </si>
  <si>
    <t xml:space="preserve">Washington University in St Louis </t>
  </si>
  <si>
    <t xml:space="preserve">University of Manchester </t>
  </si>
  <si>
    <t xml:space="preserve">Rice University </t>
  </si>
  <si>
    <t xml:space="preserve">Ohio State University </t>
  </si>
  <si>
    <t xml:space="preserve">Indiana University Bloomington </t>
  </si>
  <si>
    <t xml:space="preserve">University of Leeds </t>
  </si>
  <si>
    <t xml:space="preserve">University of California, Berkeley </t>
  </si>
  <si>
    <t xml:space="preserve">University of Edinburgh </t>
  </si>
  <si>
    <t xml:space="preserve">University of Reading </t>
  </si>
  <si>
    <t xml:space="preserve">Georgetown University </t>
  </si>
  <si>
    <t xml:space="preserve">Harvard University  </t>
  </si>
  <si>
    <t>US</t>
  </si>
  <si>
    <t>UK</t>
  </si>
  <si>
    <t>Germany</t>
  </si>
  <si>
    <t>Rank</t>
  </si>
  <si>
    <t>Title</t>
  </si>
  <si>
    <t>Rating</t>
  </si>
  <si>
    <t>USRevenue</t>
  </si>
  <si>
    <t>Budget</t>
  </si>
  <si>
    <t>Opening</t>
  </si>
  <si>
    <t>Theaters</t>
  </si>
  <si>
    <t>Opinion</t>
  </si>
  <si>
    <t>Madagascar: Escape 2 Africa</t>
  </si>
  <si>
    <t>PG</t>
  </si>
  <si>
    <t>The Ruins</t>
  </si>
  <si>
    <t>R</t>
  </si>
  <si>
    <t>Stop-Loss</t>
  </si>
  <si>
    <t>The Curious Case of Benjamin Button</t>
  </si>
  <si>
    <t>PG-13</t>
  </si>
  <si>
    <t>Redbelt</t>
  </si>
  <si>
    <t>The Secret Life of Bees</t>
  </si>
  <si>
    <t>Kung Fu Panda</t>
  </si>
  <si>
    <t>The Happening</t>
  </si>
  <si>
    <t>The Strangers</t>
  </si>
  <si>
    <t>Prom Night</t>
  </si>
  <si>
    <t>The Dark Knight</t>
  </si>
  <si>
    <t>Baby Mama</t>
  </si>
  <si>
    <t>Wanted</t>
  </si>
  <si>
    <t>Changeling</t>
  </si>
  <si>
    <t>Yes Man</t>
  </si>
  <si>
    <t>The Express</t>
  </si>
  <si>
    <t>W.</t>
  </si>
  <si>
    <t>The Mummy: Tomb of the Dragon Emporer</t>
  </si>
  <si>
    <t>Eagle Eye</t>
  </si>
  <si>
    <t>Burn After Reading</t>
  </si>
  <si>
    <t>Saw V</t>
  </si>
  <si>
    <t>Miracle and St Anna</t>
  </si>
  <si>
    <t>The Day the Earth Stood Still</t>
  </si>
  <si>
    <t>Be Kind Rewind</t>
  </si>
  <si>
    <t>Jumper</t>
  </si>
  <si>
    <t>Hancock</t>
  </si>
  <si>
    <t>Speed Racer</t>
  </si>
  <si>
    <t>The Eye</t>
  </si>
  <si>
    <t>Death Race</t>
  </si>
  <si>
    <t>College</t>
  </si>
  <si>
    <t>Blindness</t>
  </si>
  <si>
    <t>Iron Man</t>
  </si>
  <si>
    <t>Lakeview Terrace</t>
  </si>
  <si>
    <t>Joker</t>
  </si>
  <si>
    <t>Avengers: Endgame</t>
  </si>
  <si>
    <t>Avatar</t>
  </si>
  <si>
    <t>Parasite</t>
  </si>
  <si>
    <t>The Irishman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</si>
</sst>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quotePrefix="1" applyNumberFormat="1" applyBorder="1"/>
    <xf numFmtId="0" fontId="0" fillId="0" borderId="1" xfId="0" applyNumberFormat="1" applyBorder="1"/>
    <xf numFmtId="1" fontId="0" fillId="0" borderId="0" xfId="0" applyNumberFormat="1"/>
    <xf numFmtId="49" fontId="0" fillId="0" borderId="0" xfId="0" applyNumberFormat="1"/>
    <xf numFmtId="0" fontId="0" fillId="0" borderId="1" xfId="0" quotePrefix="1" applyNumberFormat="1" applyBorder="1" applyAlignment="1">
      <alignment horizontal="center"/>
    </xf>
    <xf numFmtId="0" fontId="0" fillId="0" borderId="0" xfId="0" applyNumberFormat="1"/>
    <xf numFmtId="0" fontId="1" fillId="0" borderId="0" xfId="0" applyFont="1"/>
    <xf numFmtId="167" fontId="1" fillId="0" borderId="0" xfId="0" applyNumberFormat="1" applyFont="1"/>
    <xf numFmtId="16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7" fontId="0" fillId="0" borderId="0" xfId="0" applyNumberFormat="1" applyAlignment="1">
      <alignment horizontal="right" indent="1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indent="1"/>
    </xf>
    <xf numFmtId="0" fontId="2" fillId="0" borderId="0" xfId="0" applyFont="1"/>
    <xf numFmtId="167" fontId="0" fillId="0" borderId="0" xfId="0" applyNumberFormat="1" applyAlignment="1">
      <alignment horizontal="right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B1" workbookViewId="0">
      <selection activeCell="B27" sqref="B27"/>
    </sheetView>
  </sheetViews>
  <sheetFormatPr defaultRowHeight="15" x14ac:dyDescent="0.25"/>
  <cols>
    <col min="2" max="2" width="37.42578125" bestFit="1" customWidth="1"/>
    <col min="3" max="5" width="13.7109375" customWidth="1"/>
    <col min="10" max="10" width="10.42578125" customWidth="1"/>
    <col min="11" max="11" width="13.28515625" customWidth="1"/>
    <col min="12" max="12" width="13.5703125" customWidth="1"/>
  </cols>
  <sheetData>
    <row r="1" spans="1:12" x14ac:dyDescent="0.25">
      <c r="A1" s="5" t="s">
        <v>44</v>
      </c>
      <c r="B1" s="1" t="s">
        <v>0</v>
      </c>
      <c r="C1" s="1" t="s">
        <v>1</v>
      </c>
      <c r="D1" s="5" t="s">
        <v>41</v>
      </c>
      <c r="E1" s="5" t="s">
        <v>42</v>
      </c>
      <c r="F1" s="2" t="s">
        <v>2</v>
      </c>
      <c r="G1" s="2" t="s">
        <v>6</v>
      </c>
      <c r="H1" s="2" t="s">
        <v>7</v>
      </c>
      <c r="I1" s="2" t="s">
        <v>3</v>
      </c>
      <c r="J1" s="2" t="s">
        <v>4</v>
      </c>
      <c r="K1" s="2" t="s">
        <v>5</v>
      </c>
      <c r="L1" s="2" t="s">
        <v>8</v>
      </c>
    </row>
    <row r="2" spans="1:12" x14ac:dyDescent="0.25">
      <c r="A2">
        <v>7</v>
      </c>
      <c r="B2" t="s">
        <v>9</v>
      </c>
      <c r="C2" s="4" t="s">
        <v>41</v>
      </c>
      <c r="D2" s="6">
        <f>IF(C2="US",1,0)</f>
        <v>1</v>
      </c>
      <c r="E2" s="6">
        <f>IF(C2="UK",1,0)</f>
        <v>0</v>
      </c>
      <c r="F2">
        <v>100</v>
      </c>
      <c r="G2">
        <v>77</v>
      </c>
      <c r="H2">
        <v>83</v>
      </c>
      <c r="I2">
        <v>99</v>
      </c>
      <c r="J2">
        <v>97</v>
      </c>
      <c r="K2">
        <v>88</v>
      </c>
      <c r="L2">
        <v>96.8</v>
      </c>
    </row>
    <row r="3" spans="1:12" x14ac:dyDescent="0.25">
      <c r="A3">
        <v>16</v>
      </c>
      <c r="B3" t="s">
        <v>10</v>
      </c>
      <c r="C3" s="4" t="s">
        <v>41</v>
      </c>
      <c r="D3" s="6">
        <f t="shared" ref="D3:D33" si="0">IF(C3="US",1,0)</f>
        <v>1</v>
      </c>
      <c r="E3" s="6">
        <f t="shared" ref="E3:E33" si="1">IF(C3="UK",1,0)</f>
        <v>0</v>
      </c>
      <c r="F3">
        <v>100</v>
      </c>
      <c r="G3">
        <v>25</v>
      </c>
      <c r="H3">
        <v>96</v>
      </c>
      <c r="I3">
        <v>100</v>
      </c>
      <c r="J3">
        <v>71</v>
      </c>
      <c r="K3">
        <v>100</v>
      </c>
      <c r="L3">
        <v>92.2</v>
      </c>
    </row>
    <row r="4" spans="1:12" x14ac:dyDescent="0.25">
      <c r="A4">
        <v>13</v>
      </c>
      <c r="B4" t="s">
        <v>11</v>
      </c>
      <c r="C4" s="4" t="s">
        <v>41</v>
      </c>
      <c r="D4" s="6">
        <f t="shared" si="0"/>
        <v>1</v>
      </c>
      <c r="E4" s="6">
        <f t="shared" si="1"/>
        <v>0</v>
      </c>
      <c r="F4">
        <v>98</v>
      </c>
      <c r="G4">
        <v>28</v>
      </c>
      <c r="H4">
        <v>71</v>
      </c>
      <c r="I4">
        <v>79</v>
      </c>
      <c r="J4">
        <v>100</v>
      </c>
      <c r="K4">
        <v>99</v>
      </c>
      <c r="L4">
        <v>94.1</v>
      </c>
    </row>
    <row r="5" spans="1:12" x14ac:dyDescent="0.25">
      <c r="A5">
        <v>106</v>
      </c>
      <c r="B5" t="s">
        <v>12</v>
      </c>
      <c r="C5" s="4" t="s">
        <v>41</v>
      </c>
      <c r="D5" s="6">
        <f t="shared" si="0"/>
        <v>1</v>
      </c>
      <c r="E5" s="6">
        <f t="shared" si="1"/>
        <v>0</v>
      </c>
      <c r="F5">
        <v>86</v>
      </c>
      <c r="G5">
        <v>37</v>
      </c>
      <c r="H5">
        <v>21</v>
      </c>
      <c r="I5">
        <v>42</v>
      </c>
      <c r="J5">
        <v>21</v>
      </c>
      <c r="K5">
        <v>97</v>
      </c>
      <c r="L5">
        <v>66.599999999999994</v>
      </c>
    </row>
    <row r="6" spans="1:12" x14ac:dyDescent="0.25">
      <c r="A6">
        <v>12</v>
      </c>
      <c r="B6" t="s">
        <v>13</v>
      </c>
      <c r="C6" s="4" t="s">
        <v>41</v>
      </c>
      <c r="D6" s="6">
        <f t="shared" si="0"/>
        <v>1</v>
      </c>
      <c r="E6" s="6">
        <f t="shared" si="1"/>
        <v>0</v>
      </c>
      <c r="F6">
        <v>96</v>
      </c>
      <c r="G6">
        <v>82</v>
      </c>
      <c r="H6">
        <v>60</v>
      </c>
      <c r="I6">
        <v>99</v>
      </c>
      <c r="J6">
        <v>85</v>
      </c>
      <c r="K6">
        <v>98</v>
      </c>
      <c r="L6">
        <v>94.2</v>
      </c>
    </row>
    <row r="7" spans="1:12" x14ac:dyDescent="0.25">
      <c r="A7">
        <v>32</v>
      </c>
      <c r="B7" t="s">
        <v>14</v>
      </c>
      <c r="C7" s="4" t="s">
        <v>41</v>
      </c>
      <c r="D7" s="6">
        <f t="shared" si="0"/>
        <v>1</v>
      </c>
      <c r="E7" s="6">
        <f t="shared" si="1"/>
        <v>0</v>
      </c>
      <c r="F7">
        <v>100</v>
      </c>
      <c r="G7">
        <v>21</v>
      </c>
      <c r="H7">
        <v>33</v>
      </c>
      <c r="I7">
        <v>98</v>
      </c>
      <c r="J7">
        <v>46</v>
      </c>
      <c r="K7">
        <v>100</v>
      </c>
      <c r="L7">
        <v>83.5</v>
      </c>
    </row>
    <row r="8" spans="1:12" x14ac:dyDescent="0.25">
      <c r="A8">
        <v>78</v>
      </c>
      <c r="B8" t="s">
        <v>15</v>
      </c>
      <c r="C8" s="4" t="s">
        <v>41</v>
      </c>
      <c r="D8" s="6">
        <f t="shared" si="0"/>
        <v>1</v>
      </c>
      <c r="E8" s="6">
        <f t="shared" si="1"/>
        <v>0</v>
      </c>
      <c r="F8">
        <v>72</v>
      </c>
      <c r="G8">
        <v>23</v>
      </c>
      <c r="H8">
        <v>26</v>
      </c>
      <c r="I8">
        <v>78</v>
      </c>
      <c r="J8">
        <v>72</v>
      </c>
      <c r="K8">
        <v>82</v>
      </c>
      <c r="L8">
        <v>71.3</v>
      </c>
    </row>
    <row r="9" spans="1:12" x14ac:dyDescent="0.25">
      <c r="A9">
        <v>146</v>
      </c>
      <c r="B9" t="s">
        <v>16</v>
      </c>
      <c r="C9" s="4" t="s">
        <v>43</v>
      </c>
      <c r="D9" s="6">
        <f t="shared" si="0"/>
        <v>0</v>
      </c>
      <c r="E9" s="6">
        <f t="shared" si="1"/>
        <v>0</v>
      </c>
      <c r="F9">
        <v>83</v>
      </c>
      <c r="G9">
        <v>45</v>
      </c>
      <c r="H9">
        <v>59</v>
      </c>
      <c r="I9">
        <v>36</v>
      </c>
      <c r="J9">
        <v>36</v>
      </c>
      <c r="K9">
        <v>51</v>
      </c>
      <c r="L9">
        <v>60.6</v>
      </c>
    </row>
    <row r="10" spans="1:12" x14ac:dyDescent="0.25">
      <c r="A10">
        <v>2</v>
      </c>
      <c r="B10" t="s">
        <v>17</v>
      </c>
      <c r="C10" s="4" t="s">
        <v>42</v>
      </c>
      <c r="D10" s="6">
        <f t="shared" si="0"/>
        <v>0</v>
      </c>
      <c r="E10" s="6">
        <f t="shared" si="1"/>
        <v>1</v>
      </c>
      <c r="F10">
        <v>100</v>
      </c>
      <c r="G10">
        <v>98</v>
      </c>
      <c r="H10">
        <v>96</v>
      </c>
      <c r="I10">
        <v>100</v>
      </c>
      <c r="J10">
        <v>100</v>
      </c>
      <c r="K10">
        <v>89</v>
      </c>
      <c r="L10">
        <v>99.6</v>
      </c>
    </row>
    <row r="11" spans="1:12" x14ac:dyDescent="0.25">
      <c r="A11" s="3">
        <v>144</v>
      </c>
      <c r="B11" t="s">
        <v>18</v>
      </c>
      <c r="C11" s="4" t="s">
        <v>42</v>
      </c>
      <c r="D11" s="6">
        <f t="shared" si="0"/>
        <v>0</v>
      </c>
      <c r="E11" s="6">
        <f t="shared" si="1"/>
        <v>1</v>
      </c>
      <c r="F11">
        <v>52</v>
      </c>
      <c r="G11">
        <v>89</v>
      </c>
      <c r="H11">
        <v>94</v>
      </c>
      <c r="I11">
        <v>98</v>
      </c>
      <c r="J11">
        <v>48</v>
      </c>
      <c r="K11">
        <v>50</v>
      </c>
      <c r="L11">
        <v>60.7</v>
      </c>
    </row>
    <row r="12" spans="1:12" x14ac:dyDescent="0.25">
      <c r="A12">
        <v>76</v>
      </c>
      <c r="B12" t="s">
        <v>19</v>
      </c>
      <c r="C12" s="4" t="s">
        <v>41</v>
      </c>
      <c r="D12" s="6">
        <f t="shared" si="0"/>
        <v>1</v>
      </c>
      <c r="E12" s="6">
        <f t="shared" si="1"/>
        <v>0</v>
      </c>
      <c r="F12">
        <v>93</v>
      </c>
      <c r="G12">
        <v>55</v>
      </c>
      <c r="H12">
        <v>41</v>
      </c>
      <c r="I12">
        <v>92</v>
      </c>
      <c r="J12">
        <v>29</v>
      </c>
      <c r="K12">
        <v>65</v>
      </c>
      <c r="L12">
        <v>71.5</v>
      </c>
    </row>
    <row r="13" spans="1:12" x14ac:dyDescent="0.25">
      <c r="A13">
        <v>184</v>
      </c>
      <c r="B13" t="s">
        <v>20</v>
      </c>
      <c r="C13" s="4" t="s">
        <v>43</v>
      </c>
      <c r="D13" s="6">
        <f t="shared" si="0"/>
        <v>0</v>
      </c>
      <c r="E13" s="6">
        <f t="shared" si="1"/>
        <v>0</v>
      </c>
      <c r="F13">
        <v>47</v>
      </c>
      <c r="G13">
        <v>49</v>
      </c>
      <c r="H13">
        <v>81</v>
      </c>
      <c r="I13">
        <v>84</v>
      </c>
      <c r="J13">
        <v>73</v>
      </c>
      <c r="K13">
        <v>33</v>
      </c>
      <c r="L13">
        <v>56.1</v>
      </c>
    </row>
    <row r="14" spans="1:12" x14ac:dyDescent="0.25">
      <c r="A14">
        <v>10</v>
      </c>
      <c r="B14" t="s">
        <v>21</v>
      </c>
      <c r="C14" s="4" t="s">
        <v>41</v>
      </c>
      <c r="D14" s="6">
        <f t="shared" si="0"/>
        <v>1</v>
      </c>
      <c r="E14" s="6">
        <f t="shared" si="1"/>
        <v>0</v>
      </c>
      <c r="F14">
        <v>99</v>
      </c>
      <c r="G14">
        <v>100</v>
      </c>
      <c r="H14">
        <v>89</v>
      </c>
      <c r="I14">
        <v>72</v>
      </c>
      <c r="J14">
        <v>87</v>
      </c>
      <c r="K14">
        <v>100</v>
      </c>
      <c r="L14">
        <v>95.9</v>
      </c>
    </row>
    <row r="15" spans="1:12" x14ac:dyDescent="0.25">
      <c r="A15">
        <v>87</v>
      </c>
      <c r="B15" t="s">
        <v>22</v>
      </c>
      <c r="C15" s="4" t="s">
        <v>42</v>
      </c>
      <c r="D15" s="6">
        <f t="shared" si="0"/>
        <v>0</v>
      </c>
      <c r="E15" s="6">
        <f t="shared" si="1"/>
        <v>1</v>
      </c>
      <c r="F15">
        <v>57</v>
      </c>
      <c r="G15">
        <v>91</v>
      </c>
      <c r="H15">
        <v>99</v>
      </c>
      <c r="I15">
        <v>92</v>
      </c>
      <c r="J15">
        <v>74</v>
      </c>
      <c r="K15">
        <v>61</v>
      </c>
      <c r="L15">
        <v>69.8</v>
      </c>
    </row>
    <row r="16" spans="1:12" x14ac:dyDescent="0.25">
      <c r="A16">
        <v>94</v>
      </c>
      <c r="B16" t="s">
        <v>23</v>
      </c>
      <c r="C16" s="4" t="s">
        <v>43</v>
      </c>
      <c r="D16" s="6">
        <f t="shared" si="0"/>
        <v>0</v>
      </c>
      <c r="E16" s="6">
        <f t="shared" si="1"/>
        <v>0</v>
      </c>
      <c r="F16">
        <v>87</v>
      </c>
      <c r="G16">
        <v>49</v>
      </c>
      <c r="H16">
        <v>63</v>
      </c>
      <c r="I16">
        <v>31</v>
      </c>
      <c r="J16">
        <v>28</v>
      </c>
      <c r="K16">
        <v>92</v>
      </c>
      <c r="L16">
        <v>69</v>
      </c>
    </row>
    <row r="17" spans="1:12" x14ac:dyDescent="0.25">
      <c r="A17">
        <v>14</v>
      </c>
      <c r="B17" t="s">
        <v>24</v>
      </c>
      <c r="C17" s="4" t="s">
        <v>41</v>
      </c>
      <c r="D17" s="6">
        <f t="shared" si="0"/>
        <v>1</v>
      </c>
      <c r="E17" s="6">
        <f t="shared" si="1"/>
        <v>0</v>
      </c>
      <c r="F17">
        <v>95</v>
      </c>
      <c r="G17">
        <v>29</v>
      </c>
      <c r="H17">
        <v>62</v>
      </c>
      <c r="I17">
        <v>97</v>
      </c>
      <c r="J17">
        <v>100</v>
      </c>
      <c r="K17">
        <v>93</v>
      </c>
      <c r="L17">
        <v>92.9</v>
      </c>
    </row>
    <row r="18" spans="1:12" x14ac:dyDescent="0.25">
      <c r="A18">
        <v>98</v>
      </c>
      <c r="B18" t="s">
        <v>25</v>
      </c>
      <c r="C18" s="4" t="s">
        <v>43</v>
      </c>
      <c r="D18" s="6">
        <f t="shared" si="0"/>
        <v>0</v>
      </c>
      <c r="E18" s="6">
        <f t="shared" si="1"/>
        <v>0</v>
      </c>
      <c r="F18">
        <v>86</v>
      </c>
      <c r="G18">
        <v>53</v>
      </c>
      <c r="H18">
        <v>66</v>
      </c>
      <c r="I18">
        <v>45</v>
      </c>
      <c r="J18">
        <v>34</v>
      </c>
      <c r="K18">
        <v>76</v>
      </c>
      <c r="L18">
        <v>68.400000000000006</v>
      </c>
    </row>
    <row r="19" spans="1:12" x14ac:dyDescent="0.25">
      <c r="A19">
        <v>15</v>
      </c>
      <c r="B19" t="s">
        <v>26</v>
      </c>
      <c r="C19" s="4" t="s">
        <v>41</v>
      </c>
      <c r="D19" s="6">
        <f t="shared" si="0"/>
        <v>1</v>
      </c>
      <c r="E19" s="6">
        <f t="shared" si="1"/>
        <v>0</v>
      </c>
      <c r="F19">
        <v>100</v>
      </c>
      <c r="G19">
        <v>28</v>
      </c>
      <c r="H19">
        <v>73</v>
      </c>
      <c r="I19">
        <v>99</v>
      </c>
      <c r="J19">
        <v>85</v>
      </c>
      <c r="K19">
        <v>94</v>
      </c>
      <c r="L19">
        <v>92.5</v>
      </c>
    </row>
    <row r="20" spans="1:12" x14ac:dyDescent="0.25">
      <c r="A20">
        <v>11</v>
      </c>
      <c r="B20" t="s">
        <v>27</v>
      </c>
      <c r="C20" s="4" t="s">
        <v>41</v>
      </c>
      <c r="D20" s="6">
        <f t="shared" si="0"/>
        <v>1</v>
      </c>
      <c r="E20" s="6">
        <f t="shared" si="1"/>
        <v>0</v>
      </c>
      <c r="F20">
        <v>100</v>
      </c>
      <c r="G20">
        <v>28</v>
      </c>
      <c r="H20">
        <v>89</v>
      </c>
      <c r="I20">
        <v>99</v>
      </c>
      <c r="J20">
        <v>97</v>
      </c>
      <c r="K20">
        <v>92</v>
      </c>
      <c r="L20">
        <v>95.6</v>
      </c>
    </row>
    <row r="21" spans="1:12" x14ac:dyDescent="0.25">
      <c r="A21">
        <v>166</v>
      </c>
      <c r="B21" t="s">
        <v>28</v>
      </c>
      <c r="C21" s="4" t="s">
        <v>42</v>
      </c>
      <c r="D21" s="6">
        <f t="shared" si="0"/>
        <v>0</v>
      </c>
      <c r="E21" s="6">
        <f t="shared" si="1"/>
        <v>1</v>
      </c>
      <c r="F21">
        <v>54</v>
      </c>
      <c r="G21">
        <v>87</v>
      </c>
      <c r="H21">
        <v>80</v>
      </c>
      <c r="I21">
        <v>44</v>
      </c>
      <c r="J21">
        <v>49</v>
      </c>
      <c r="K21">
        <v>62</v>
      </c>
      <c r="L21">
        <v>58</v>
      </c>
    </row>
    <row r="22" spans="1:12" x14ac:dyDescent="0.25">
      <c r="A22">
        <v>54</v>
      </c>
      <c r="B22" t="s">
        <v>29</v>
      </c>
      <c r="C22" s="4" t="s">
        <v>41</v>
      </c>
      <c r="D22" s="6">
        <f t="shared" si="0"/>
        <v>1</v>
      </c>
      <c r="E22" s="6">
        <f t="shared" si="1"/>
        <v>0</v>
      </c>
      <c r="F22">
        <v>87</v>
      </c>
      <c r="G22">
        <v>25</v>
      </c>
      <c r="H22">
        <v>89</v>
      </c>
      <c r="I22">
        <v>87</v>
      </c>
      <c r="J22">
        <v>68</v>
      </c>
      <c r="K22">
        <v>67</v>
      </c>
      <c r="L22">
        <v>77.8</v>
      </c>
    </row>
    <row r="23" spans="1:12" x14ac:dyDescent="0.25">
      <c r="A23">
        <v>73</v>
      </c>
      <c r="B23" t="s">
        <v>30</v>
      </c>
      <c r="C23" s="4" t="s">
        <v>41</v>
      </c>
      <c r="D23" s="6">
        <f t="shared" si="0"/>
        <v>1</v>
      </c>
      <c r="E23" s="6">
        <f t="shared" si="1"/>
        <v>0</v>
      </c>
      <c r="F23">
        <v>57</v>
      </c>
      <c r="G23">
        <v>30</v>
      </c>
      <c r="H23">
        <v>53</v>
      </c>
      <c r="I23">
        <v>50</v>
      </c>
      <c r="J23">
        <v>95</v>
      </c>
      <c r="K23">
        <v>98</v>
      </c>
      <c r="L23">
        <v>72</v>
      </c>
    </row>
    <row r="24" spans="1:12" x14ac:dyDescent="0.25">
      <c r="A24">
        <v>26</v>
      </c>
      <c r="B24" t="s">
        <v>31</v>
      </c>
      <c r="C24" s="4" t="s">
        <v>42</v>
      </c>
      <c r="D24" s="6">
        <f t="shared" si="0"/>
        <v>0</v>
      </c>
      <c r="E24" s="6">
        <f t="shared" si="1"/>
        <v>1</v>
      </c>
      <c r="F24">
        <v>94</v>
      </c>
      <c r="G24">
        <v>90</v>
      </c>
      <c r="H24">
        <v>87</v>
      </c>
      <c r="I24">
        <v>100</v>
      </c>
      <c r="J24">
        <v>79</v>
      </c>
      <c r="K24">
        <v>58</v>
      </c>
      <c r="L24">
        <v>85.7</v>
      </c>
    </row>
    <row r="25" spans="1:12" x14ac:dyDescent="0.25">
      <c r="A25">
        <v>100</v>
      </c>
      <c r="B25" t="s">
        <v>32</v>
      </c>
      <c r="C25" s="4" t="s">
        <v>41</v>
      </c>
      <c r="D25" s="6">
        <f t="shared" si="0"/>
        <v>1</v>
      </c>
      <c r="E25" s="6">
        <f t="shared" si="1"/>
        <v>0</v>
      </c>
      <c r="F25">
        <v>56</v>
      </c>
      <c r="G25">
        <v>38</v>
      </c>
      <c r="H25">
        <v>67</v>
      </c>
      <c r="I25">
        <v>44</v>
      </c>
      <c r="J25">
        <v>86</v>
      </c>
      <c r="K25">
        <v>87</v>
      </c>
      <c r="L25">
        <v>68.099999999999994</v>
      </c>
    </row>
    <row r="26" spans="1:12" x14ac:dyDescent="0.25">
      <c r="A26">
        <v>129</v>
      </c>
      <c r="B26" t="s">
        <v>33</v>
      </c>
      <c r="C26" s="4" t="s">
        <v>41</v>
      </c>
      <c r="D26" s="6">
        <f t="shared" si="0"/>
        <v>1</v>
      </c>
      <c r="E26" s="6">
        <f t="shared" si="1"/>
        <v>0</v>
      </c>
      <c r="F26">
        <v>69</v>
      </c>
      <c r="G26">
        <v>69</v>
      </c>
      <c r="H26">
        <v>46</v>
      </c>
      <c r="I26">
        <v>77</v>
      </c>
      <c r="J26">
        <v>40</v>
      </c>
      <c r="K26">
        <v>64</v>
      </c>
      <c r="L26">
        <v>63.4</v>
      </c>
    </row>
    <row r="27" spans="1:12" x14ac:dyDescent="0.25">
      <c r="A27">
        <v>193</v>
      </c>
      <c r="B27" t="s">
        <v>34</v>
      </c>
      <c r="C27" s="4" t="s">
        <v>41</v>
      </c>
      <c r="D27" s="6">
        <f t="shared" si="0"/>
        <v>1</v>
      </c>
      <c r="E27" s="6">
        <f t="shared" si="1"/>
        <v>0</v>
      </c>
      <c r="F27">
        <v>61</v>
      </c>
      <c r="G27">
        <v>46</v>
      </c>
      <c r="H27">
        <v>48</v>
      </c>
      <c r="I27">
        <v>69</v>
      </c>
      <c r="J27">
        <v>28</v>
      </c>
      <c r="K27">
        <v>58</v>
      </c>
      <c r="L27">
        <v>54.5</v>
      </c>
    </row>
    <row r="28" spans="1:12" x14ac:dyDescent="0.25">
      <c r="A28">
        <v>99</v>
      </c>
      <c r="B28" t="s">
        <v>35</v>
      </c>
      <c r="C28" s="4" t="s">
        <v>42</v>
      </c>
      <c r="D28" s="6">
        <f t="shared" si="0"/>
        <v>0</v>
      </c>
      <c r="E28" s="6">
        <f t="shared" si="1"/>
        <v>1</v>
      </c>
      <c r="F28">
        <v>73</v>
      </c>
      <c r="G28">
        <v>75</v>
      </c>
      <c r="H28">
        <v>62</v>
      </c>
      <c r="I28">
        <v>99</v>
      </c>
      <c r="J28">
        <v>57</v>
      </c>
      <c r="K28">
        <v>48</v>
      </c>
      <c r="L28">
        <v>68.3</v>
      </c>
    </row>
    <row r="29" spans="1:12" x14ac:dyDescent="0.25">
      <c r="A29">
        <v>39</v>
      </c>
      <c r="B29" t="s">
        <v>36</v>
      </c>
      <c r="C29" s="4" t="s">
        <v>41</v>
      </c>
      <c r="D29" s="6">
        <f t="shared" si="0"/>
        <v>1</v>
      </c>
      <c r="E29" s="6">
        <f t="shared" si="1"/>
        <v>0</v>
      </c>
      <c r="F29">
        <v>100</v>
      </c>
      <c r="G29">
        <v>86</v>
      </c>
      <c r="H29">
        <v>34</v>
      </c>
      <c r="I29">
        <v>100</v>
      </c>
      <c r="J29">
        <v>25</v>
      </c>
      <c r="K29">
        <v>100</v>
      </c>
      <c r="L29">
        <v>82.7</v>
      </c>
    </row>
    <row r="30" spans="1:12" x14ac:dyDescent="0.25">
      <c r="A30">
        <v>20</v>
      </c>
      <c r="B30" t="s">
        <v>37</v>
      </c>
      <c r="C30" s="4" t="s">
        <v>42</v>
      </c>
      <c r="D30" s="6">
        <f t="shared" si="0"/>
        <v>0</v>
      </c>
      <c r="E30" s="6">
        <f t="shared" si="1"/>
        <v>1</v>
      </c>
      <c r="F30">
        <v>97</v>
      </c>
      <c r="G30">
        <v>93</v>
      </c>
      <c r="H30">
        <v>86</v>
      </c>
      <c r="I30">
        <v>99</v>
      </c>
      <c r="J30">
        <v>84</v>
      </c>
      <c r="K30">
        <v>65</v>
      </c>
      <c r="L30">
        <v>89.3</v>
      </c>
    </row>
    <row r="31" spans="1:12" x14ac:dyDescent="0.25">
      <c r="A31">
        <v>191</v>
      </c>
      <c r="B31" t="s">
        <v>38</v>
      </c>
      <c r="C31" s="4" t="s">
        <v>42</v>
      </c>
      <c r="D31" s="6">
        <f t="shared" si="0"/>
        <v>0</v>
      </c>
      <c r="E31" s="6">
        <f t="shared" si="1"/>
        <v>1</v>
      </c>
      <c r="F31">
        <v>45</v>
      </c>
      <c r="G31">
        <v>80</v>
      </c>
      <c r="H31">
        <v>81</v>
      </c>
      <c r="I31">
        <v>71</v>
      </c>
      <c r="J31">
        <v>52</v>
      </c>
      <c r="K31">
        <v>50</v>
      </c>
      <c r="L31">
        <v>54.7</v>
      </c>
    </row>
    <row r="32" spans="1:12" x14ac:dyDescent="0.25">
      <c r="A32">
        <v>129</v>
      </c>
      <c r="B32" t="s">
        <v>39</v>
      </c>
      <c r="C32" s="4" t="s">
        <v>41</v>
      </c>
      <c r="D32" s="6">
        <f t="shared" si="0"/>
        <v>1</v>
      </c>
      <c r="E32" s="6">
        <f t="shared" si="1"/>
        <v>0</v>
      </c>
      <c r="F32">
        <v>65</v>
      </c>
      <c r="G32">
        <v>24</v>
      </c>
      <c r="H32">
        <v>51</v>
      </c>
      <c r="I32">
        <v>90</v>
      </c>
      <c r="J32">
        <v>65</v>
      </c>
      <c r="K32">
        <v>50</v>
      </c>
      <c r="L32">
        <v>63.4</v>
      </c>
    </row>
    <row r="33" spans="1:12" x14ac:dyDescent="0.25">
      <c r="A33">
        <v>1</v>
      </c>
      <c r="B33" t="s">
        <v>40</v>
      </c>
      <c r="C33" s="4" t="s">
        <v>41</v>
      </c>
      <c r="D33" s="6">
        <f t="shared" si="0"/>
        <v>1</v>
      </c>
      <c r="E33" s="6">
        <f t="shared" si="1"/>
        <v>0</v>
      </c>
      <c r="F33">
        <v>100</v>
      </c>
      <c r="G33">
        <v>85</v>
      </c>
      <c r="H33">
        <v>78</v>
      </c>
      <c r="I33">
        <v>100</v>
      </c>
      <c r="J33">
        <v>98</v>
      </c>
      <c r="K33">
        <v>100</v>
      </c>
      <c r="L3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E12" sqref="E12"/>
    </sheetView>
  </sheetViews>
  <sheetFormatPr defaultRowHeight="15" x14ac:dyDescent="0.25"/>
  <cols>
    <col min="1" max="1" width="37" bestFit="1" customWidth="1"/>
    <col min="2" max="2" width="8.28515625" customWidth="1"/>
    <col min="3" max="3" width="12.140625" style="17" customWidth="1"/>
    <col min="4" max="4" width="9.140625" style="16"/>
    <col min="5" max="5" width="10.42578125" style="12" customWidth="1"/>
    <col min="6" max="6" width="11.42578125" style="13" customWidth="1"/>
    <col min="7" max="7" width="9.140625" style="12"/>
    <col min="255" max="255" width="37" bestFit="1" customWidth="1"/>
    <col min="256" max="256" width="8.28515625" customWidth="1"/>
    <col min="257" max="257" width="10.140625" customWidth="1"/>
    <col min="258" max="258" width="12.140625" customWidth="1"/>
    <col min="260" max="260" width="10.42578125" customWidth="1"/>
    <col min="261" max="261" width="11.42578125" customWidth="1"/>
    <col min="511" max="511" width="37" bestFit="1" customWidth="1"/>
    <col min="512" max="512" width="8.28515625" customWidth="1"/>
    <col min="513" max="513" width="10.140625" customWidth="1"/>
    <col min="514" max="514" width="12.140625" customWidth="1"/>
    <col min="516" max="516" width="10.42578125" customWidth="1"/>
    <col min="517" max="517" width="11.42578125" customWidth="1"/>
    <col min="767" max="767" width="37" bestFit="1" customWidth="1"/>
    <col min="768" max="768" width="8.28515625" customWidth="1"/>
    <col min="769" max="769" width="10.140625" customWidth="1"/>
    <col min="770" max="770" width="12.140625" customWidth="1"/>
    <col min="772" max="772" width="10.42578125" customWidth="1"/>
    <col min="773" max="773" width="11.42578125" customWidth="1"/>
    <col min="1023" max="1023" width="37" bestFit="1" customWidth="1"/>
    <col min="1024" max="1024" width="8.28515625" customWidth="1"/>
    <col min="1025" max="1025" width="10.140625" customWidth="1"/>
    <col min="1026" max="1026" width="12.140625" customWidth="1"/>
    <col min="1028" max="1028" width="10.42578125" customWidth="1"/>
    <col min="1029" max="1029" width="11.42578125" customWidth="1"/>
    <col min="1279" max="1279" width="37" bestFit="1" customWidth="1"/>
    <col min="1280" max="1280" width="8.28515625" customWidth="1"/>
    <col min="1281" max="1281" width="10.140625" customWidth="1"/>
    <col min="1282" max="1282" width="12.140625" customWidth="1"/>
    <col min="1284" max="1284" width="10.42578125" customWidth="1"/>
    <col min="1285" max="1285" width="11.42578125" customWidth="1"/>
    <col min="1535" max="1535" width="37" bestFit="1" customWidth="1"/>
    <col min="1536" max="1536" width="8.28515625" customWidth="1"/>
    <col min="1537" max="1537" width="10.140625" customWidth="1"/>
    <col min="1538" max="1538" width="12.140625" customWidth="1"/>
    <col min="1540" max="1540" width="10.42578125" customWidth="1"/>
    <col min="1541" max="1541" width="11.42578125" customWidth="1"/>
    <col min="1791" max="1791" width="37" bestFit="1" customWidth="1"/>
    <col min="1792" max="1792" width="8.28515625" customWidth="1"/>
    <col min="1793" max="1793" width="10.140625" customWidth="1"/>
    <col min="1794" max="1794" width="12.140625" customWidth="1"/>
    <col min="1796" max="1796" width="10.42578125" customWidth="1"/>
    <col min="1797" max="1797" width="11.42578125" customWidth="1"/>
    <col min="2047" max="2047" width="37" bestFit="1" customWidth="1"/>
    <col min="2048" max="2048" width="8.28515625" customWidth="1"/>
    <col min="2049" max="2049" width="10.140625" customWidth="1"/>
    <col min="2050" max="2050" width="12.140625" customWidth="1"/>
    <col min="2052" max="2052" width="10.42578125" customWidth="1"/>
    <col min="2053" max="2053" width="11.42578125" customWidth="1"/>
    <col min="2303" max="2303" width="37" bestFit="1" customWidth="1"/>
    <col min="2304" max="2304" width="8.28515625" customWidth="1"/>
    <col min="2305" max="2305" width="10.140625" customWidth="1"/>
    <col min="2306" max="2306" width="12.140625" customWidth="1"/>
    <col min="2308" max="2308" width="10.42578125" customWidth="1"/>
    <col min="2309" max="2309" width="11.42578125" customWidth="1"/>
    <col min="2559" max="2559" width="37" bestFit="1" customWidth="1"/>
    <col min="2560" max="2560" width="8.28515625" customWidth="1"/>
    <col min="2561" max="2561" width="10.140625" customWidth="1"/>
    <col min="2562" max="2562" width="12.140625" customWidth="1"/>
    <col min="2564" max="2564" width="10.42578125" customWidth="1"/>
    <col min="2565" max="2565" width="11.42578125" customWidth="1"/>
    <col min="2815" max="2815" width="37" bestFit="1" customWidth="1"/>
    <col min="2816" max="2816" width="8.28515625" customWidth="1"/>
    <col min="2817" max="2817" width="10.140625" customWidth="1"/>
    <col min="2818" max="2818" width="12.140625" customWidth="1"/>
    <col min="2820" max="2820" width="10.42578125" customWidth="1"/>
    <col min="2821" max="2821" width="11.42578125" customWidth="1"/>
    <col min="3071" max="3071" width="37" bestFit="1" customWidth="1"/>
    <col min="3072" max="3072" width="8.28515625" customWidth="1"/>
    <col min="3073" max="3073" width="10.140625" customWidth="1"/>
    <col min="3074" max="3074" width="12.140625" customWidth="1"/>
    <col min="3076" max="3076" width="10.42578125" customWidth="1"/>
    <col min="3077" max="3077" width="11.42578125" customWidth="1"/>
    <col min="3327" max="3327" width="37" bestFit="1" customWidth="1"/>
    <col min="3328" max="3328" width="8.28515625" customWidth="1"/>
    <col min="3329" max="3329" width="10.140625" customWidth="1"/>
    <col min="3330" max="3330" width="12.140625" customWidth="1"/>
    <col min="3332" max="3332" width="10.42578125" customWidth="1"/>
    <col min="3333" max="3333" width="11.42578125" customWidth="1"/>
    <col min="3583" max="3583" width="37" bestFit="1" customWidth="1"/>
    <col min="3584" max="3584" width="8.28515625" customWidth="1"/>
    <col min="3585" max="3585" width="10.140625" customWidth="1"/>
    <col min="3586" max="3586" width="12.140625" customWidth="1"/>
    <col min="3588" max="3588" width="10.42578125" customWidth="1"/>
    <col min="3589" max="3589" width="11.42578125" customWidth="1"/>
    <col min="3839" max="3839" width="37" bestFit="1" customWidth="1"/>
    <col min="3840" max="3840" width="8.28515625" customWidth="1"/>
    <col min="3841" max="3841" width="10.140625" customWidth="1"/>
    <col min="3842" max="3842" width="12.140625" customWidth="1"/>
    <col min="3844" max="3844" width="10.42578125" customWidth="1"/>
    <col min="3845" max="3845" width="11.42578125" customWidth="1"/>
    <col min="4095" max="4095" width="37" bestFit="1" customWidth="1"/>
    <col min="4096" max="4096" width="8.28515625" customWidth="1"/>
    <col min="4097" max="4097" width="10.140625" customWidth="1"/>
    <col min="4098" max="4098" width="12.140625" customWidth="1"/>
    <col min="4100" max="4100" width="10.42578125" customWidth="1"/>
    <col min="4101" max="4101" width="11.42578125" customWidth="1"/>
    <col min="4351" max="4351" width="37" bestFit="1" customWidth="1"/>
    <col min="4352" max="4352" width="8.28515625" customWidth="1"/>
    <col min="4353" max="4353" width="10.140625" customWidth="1"/>
    <col min="4354" max="4354" width="12.140625" customWidth="1"/>
    <col min="4356" max="4356" width="10.42578125" customWidth="1"/>
    <col min="4357" max="4357" width="11.42578125" customWidth="1"/>
    <col min="4607" max="4607" width="37" bestFit="1" customWidth="1"/>
    <col min="4608" max="4608" width="8.28515625" customWidth="1"/>
    <col min="4609" max="4609" width="10.140625" customWidth="1"/>
    <col min="4610" max="4610" width="12.140625" customWidth="1"/>
    <col min="4612" max="4612" width="10.42578125" customWidth="1"/>
    <col min="4613" max="4613" width="11.42578125" customWidth="1"/>
    <col min="4863" max="4863" width="37" bestFit="1" customWidth="1"/>
    <col min="4864" max="4864" width="8.28515625" customWidth="1"/>
    <col min="4865" max="4865" width="10.140625" customWidth="1"/>
    <col min="4866" max="4866" width="12.140625" customWidth="1"/>
    <col min="4868" max="4868" width="10.42578125" customWidth="1"/>
    <col min="4869" max="4869" width="11.42578125" customWidth="1"/>
    <col min="5119" max="5119" width="37" bestFit="1" customWidth="1"/>
    <col min="5120" max="5120" width="8.28515625" customWidth="1"/>
    <col min="5121" max="5121" width="10.140625" customWidth="1"/>
    <col min="5122" max="5122" width="12.140625" customWidth="1"/>
    <col min="5124" max="5124" width="10.42578125" customWidth="1"/>
    <col min="5125" max="5125" width="11.42578125" customWidth="1"/>
    <col min="5375" max="5375" width="37" bestFit="1" customWidth="1"/>
    <col min="5376" max="5376" width="8.28515625" customWidth="1"/>
    <col min="5377" max="5377" width="10.140625" customWidth="1"/>
    <col min="5378" max="5378" width="12.140625" customWidth="1"/>
    <col min="5380" max="5380" width="10.42578125" customWidth="1"/>
    <col min="5381" max="5381" width="11.42578125" customWidth="1"/>
    <col min="5631" max="5631" width="37" bestFit="1" customWidth="1"/>
    <col min="5632" max="5632" width="8.28515625" customWidth="1"/>
    <col min="5633" max="5633" width="10.140625" customWidth="1"/>
    <col min="5634" max="5634" width="12.140625" customWidth="1"/>
    <col min="5636" max="5636" width="10.42578125" customWidth="1"/>
    <col min="5637" max="5637" width="11.42578125" customWidth="1"/>
    <col min="5887" max="5887" width="37" bestFit="1" customWidth="1"/>
    <col min="5888" max="5888" width="8.28515625" customWidth="1"/>
    <col min="5889" max="5889" width="10.140625" customWidth="1"/>
    <col min="5890" max="5890" width="12.140625" customWidth="1"/>
    <col min="5892" max="5892" width="10.42578125" customWidth="1"/>
    <col min="5893" max="5893" width="11.42578125" customWidth="1"/>
    <col min="6143" max="6143" width="37" bestFit="1" customWidth="1"/>
    <col min="6144" max="6144" width="8.28515625" customWidth="1"/>
    <col min="6145" max="6145" width="10.140625" customWidth="1"/>
    <col min="6146" max="6146" width="12.140625" customWidth="1"/>
    <col min="6148" max="6148" width="10.42578125" customWidth="1"/>
    <col min="6149" max="6149" width="11.42578125" customWidth="1"/>
    <col min="6399" max="6399" width="37" bestFit="1" customWidth="1"/>
    <col min="6400" max="6400" width="8.28515625" customWidth="1"/>
    <col min="6401" max="6401" width="10.140625" customWidth="1"/>
    <col min="6402" max="6402" width="12.140625" customWidth="1"/>
    <col min="6404" max="6404" width="10.42578125" customWidth="1"/>
    <col min="6405" max="6405" width="11.42578125" customWidth="1"/>
    <col min="6655" max="6655" width="37" bestFit="1" customWidth="1"/>
    <col min="6656" max="6656" width="8.28515625" customWidth="1"/>
    <col min="6657" max="6657" width="10.140625" customWidth="1"/>
    <col min="6658" max="6658" width="12.140625" customWidth="1"/>
    <col min="6660" max="6660" width="10.42578125" customWidth="1"/>
    <col min="6661" max="6661" width="11.42578125" customWidth="1"/>
    <col min="6911" max="6911" width="37" bestFit="1" customWidth="1"/>
    <col min="6912" max="6912" width="8.28515625" customWidth="1"/>
    <col min="6913" max="6913" width="10.140625" customWidth="1"/>
    <col min="6914" max="6914" width="12.140625" customWidth="1"/>
    <col min="6916" max="6916" width="10.42578125" customWidth="1"/>
    <col min="6917" max="6917" width="11.42578125" customWidth="1"/>
    <col min="7167" max="7167" width="37" bestFit="1" customWidth="1"/>
    <col min="7168" max="7168" width="8.28515625" customWidth="1"/>
    <col min="7169" max="7169" width="10.140625" customWidth="1"/>
    <col min="7170" max="7170" width="12.140625" customWidth="1"/>
    <col min="7172" max="7172" width="10.42578125" customWidth="1"/>
    <col min="7173" max="7173" width="11.42578125" customWidth="1"/>
    <col min="7423" max="7423" width="37" bestFit="1" customWidth="1"/>
    <col min="7424" max="7424" width="8.28515625" customWidth="1"/>
    <col min="7425" max="7425" width="10.140625" customWidth="1"/>
    <col min="7426" max="7426" width="12.140625" customWidth="1"/>
    <col min="7428" max="7428" width="10.42578125" customWidth="1"/>
    <col min="7429" max="7429" width="11.42578125" customWidth="1"/>
    <col min="7679" max="7679" width="37" bestFit="1" customWidth="1"/>
    <col min="7680" max="7680" width="8.28515625" customWidth="1"/>
    <col min="7681" max="7681" width="10.140625" customWidth="1"/>
    <col min="7682" max="7682" width="12.140625" customWidth="1"/>
    <col min="7684" max="7684" width="10.42578125" customWidth="1"/>
    <col min="7685" max="7685" width="11.42578125" customWidth="1"/>
    <col min="7935" max="7935" width="37" bestFit="1" customWidth="1"/>
    <col min="7936" max="7936" width="8.28515625" customWidth="1"/>
    <col min="7937" max="7937" width="10.140625" customWidth="1"/>
    <col min="7938" max="7938" width="12.140625" customWidth="1"/>
    <col min="7940" max="7940" width="10.42578125" customWidth="1"/>
    <col min="7941" max="7941" width="11.42578125" customWidth="1"/>
    <col min="8191" max="8191" width="37" bestFit="1" customWidth="1"/>
    <col min="8192" max="8192" width="8.28515625" customWidth="1"/>
    <col min="8193" max="8193" width="10.140625" customWidth="1"/>
    <col min="8194" max="8194" width="12.140625" customWidth="1"/>
    <col min="8196" max="8196" width="10.42578125" customWidth="1"/>
    <col min="8197" max="8197" width="11.42578125" customWidth="1"/>
    <col min="8447" max="8447" width="37" bestFit="1" customWidth="1"/>
    <col min="8448" max="8448" width="8.28515625" customWidth="1"/>
    <col min="8449" max="8449" width="10.140625" customWidth="1"/>
    <col min="8450" max="8450" width="12.140625" customWidth="1"/>
    <col min="8452" max="8452" width="10.42578125" customWidth="1"/>
    <col min="8453" max="8453" width="11.42578125" customWidth="1"/>
    <col min="8703" max="8703" width="37" bestFit="1" customWidth="1"/>
    <col min="8704" max="8704" width="8.28515625" customWidth="1"/>
    <col min="8705" max="8705" width="10.140625" customWidth="1"/>
    <col min="8706" max="8706" width="12.140625" customWidth="1"/>
    <col min="8708" max="8708" width="10.42578125" customWidth="1"/>
    <col min="8709" max="8709" width="11.42578125" customWidth="1"/>
    <col min="8959" max="8959" width="37" bestFit="1" customWidth="1"/>
    <col min="8960" max="8960" width="8.28515625" customWidth="1"/>
    <col min="8961" max="8961" width="10.140625" customWidth="1"/>
    <col min="8962" max="8962" width="12.140625" customWidth="1"/>
    <col min="8964" max="8964" width="10.42578125" customWidth="1"/>
    <col min="8965" max="8965" width="11.42578125" customWidth="1"/>
    <col min="9215" max="9215" width="37" bestFit="1" customWidth="1"/>
    <col min="9216" max="9216" width="8.28515625" customWidth="1"/>
    <col min="9217" max="9217" width="10.140625" customWidth="1"/>
    <col min="9218" max="9218" width="12.140625" customWidth="1"/>
    <col min="9220" max="9220" width="10.42578125" customWidth="1"/>
    <col min="9221" max="9221" width="11.42578125" customWidth="1"/>
    <col min="9471" max="9471" width="37" bestFit="1" customWidth="1"/>
    <col min="9472" max="9472" width="8.28515625" customWidth="1"/>
    <col min="9473" max="9473" width="10.140625" customWidth="1"/>
    <col min="9474" max="9474" width="12.140625" customWidth="1"/>
    <col min="9476" max="9476" width="10.42578125" customWidth="1"/>
    <col min="9477" max="9477" width="11.42578125" customWidth="1"/>
    <col min="9727" max="9727" width="37" bestFit="1" customWidth="1"/>
    <col min="9728" max="9728" width="8.28515625" customWidth="1"/>
    <col min="9729" max="9729" width="10.140625" customWidth="1"/>
    <col min="9730" max="9730" width="12.140625" customWidth="1"/>
    <col min="9732" max="9732" width="10.42578125" customWidth="1"/>
    <col min="9733" max="9733" width="11.42578125" customWidth="1"/>
    <col min="9983" max="9983" width="37" bestFit="1" customWidth="1"/>
    <col min="9984" max="9984" width="8.28515625" customWidth="1"/>
    <col min="9985" max="9985" width="10.140625" customWidth="1"/>
    <col min="9986" max="9986" width="12.140625" customWidth="1"/>
    <col min="9988" max="9988" width="10.42578125" customWidth="1"/>
    <col min="9989" max="9989" width="11.42578125" customWidth="1"/>
    <col min="10239" max="10239" width="37" bestFit="1" customWidth="1"/>
    <col min="10240" max="10240" width="8.28515625" customWidth="1"/>
    <col min="10241" max="10241" width="10.140625" customWidth="1"/>
    <col min="10242" max="10242" width="12.140625" customWidth="1"/>
    <col min="10244" max="10244" width="10.42578125" customWidth="1"/>
    <col min="10245" max="10245" width="11.42578125" customWidth="1"/>
    <col min="10495" max="10495" width="37" bestFit="1" customWidth="1"/>
    <col min="10496" max="10496" width="8.28515625" customWidth="1"/>
    <col min="10497" max="10497" width="10.140625" customWidth="1"/>
    <col min="10498" max="10498" width="12.140625" customWidth="1"/>
    <col min="10500" max="10500" width="10.42578125" customWidth="1"/>
    <col min="10501" max="10501" width="11.42578125" customWidth="1"/>
    <col min="10751" max="10751" width="37" bestFit="1" customWidth="1"/>
    <col min="10752" max="10752" width="8.28515625" customWidth="1"/>
    <col min="10753" max="10753" width="10.140625" customWidth="1"/>
    <col min="10754" max="10754" width="12.140625" customWidth="1"/>
    <col min="10756" max="10756" width="10.42578125" customWidth="1"/>
    <col min="10757" max="10757" width="11.42578125" customWidth="1"/>
    <col min="11007" max="11007" width="37" bestFit="1" customWidth="1"/>
    <col min="11008" max="11008" width="8.28515625" customWidth="1"/>
    <col min="11009" max="11009" width="10.140625" customWidth="1"/>
    <col min="11010" max="11010" width="12.140625" customWidth="1"/>
    <col min="11012" max="11012" width="10.42578125" customWidth="1"/>
    <col min="11013" max="11013" width="11.42578125" customWidth="1"/>
    <col min="11263" max="11263" width="37" bestFit="1" customWidth="1"/>
    <col min="11264" max="11264" width="8.28515625" customWidth="1"/>
    <col min="11265" max="11265" width="10.140625" customWidth="1"/>
    <col min="11266" max="11266" width="12.140625" customWidth="1"/>
    <col min="11268" max="11268" width="10.42578125" customWidth="1"/>
    <col min="11269" max="11269" width="11.42578125" customWidth="1"/>
    <col min="11519" max="11519" width="37" bestFit="1" customWidth="1"/>
    <col min="11520" max="11520" width="8.28515625" customWidth="1"/>
    <col min="11521" max="11521" width="10.140625" customWidth="1"/>
    <col min="11522" max="11522" width="12.140625" customWidth="1"/>
    <col min="11524" max="11524" width="10.42578125" customWidth="1"/>
    <col min="11525" max="11525" width="11.42578125" customWidth="1"/>
    <col min="11775" max="11775" width="37" bestFit="1" customWidth="1"/>
    <col min="11776" max="11776" width="8.28515625" customWidth="1"/>
    <col min="11777" max="11777" width="10.140625" customWidth="1"/>
    <col min="11778" max="11778" width="12.140625" customWidth="1"/>
    <col min="11780" max="11780" width="10.42578125" customWidth="1"/>
    <col min="11781" max="11781" width="11.42578125" customWidth="1"/>
    <col min="12031" max="12031" width="37" bestFit="1" customWidth="1"/>
    <col min="12032" max="12032" width="8.28515625" customWidth="1"/>
    <col min="12033" max="12033" width="10.140625" customWidth="1"/>
    <col min="12034" max="12034" width="12.140625" customWidth="1"/>
    <col min="12036" max="12036" width="10.42578125" customWidth="1"/>
    <col min="12037" max="12037" width="11.42578125" customWidth="1"/>
    <col min="12287" max="12287" width="37" bestFit="1" customWidth="1"/>
    <col min="12288" max="12288" width="8.28515625" customWidth="1"/>
    <col min="12289" max="12289" width="10.140625" customWidth="1"/>
    <col min="12290" max="12290" width="12.140625" customWidth="1"/>
    <col min="12292" max="12292" width="10.42578125" customWidth="1"/>
    <col min="12293" max="12293" width="11.42578125" customWidth="1"/>
    <col min="12543" max="12543" width="37" bestFit="1" customWidth="1"/>
    <col min="12544" max="12544" width="8.28515625" customWidth="1"/>
    <col min="12545" max="12545" width="10.140625" customWidth="1"/>
    <col min="12546" max="12546" width="12.140625" customWidth="1"/>
    <col min="12548" max="12548" width="10.42578125" customWidth="1"/>
    <col min="12549" max="12549" width="11.42578125" customWidth="1"/>
    <col min="12799" max="12799" width="37" bestFit="1" customWidth="1"/>
    <col min="12800" max="12800" width="8.28515625" customWidth="1"/>
    <col min="12801" max="12801" width="10.140625" customWidth="1"/>
    <col min="12802" max="12802" width="12.140625" customWidth="1"/>
    <col min="12804" max="12804" width="10.42578125" customWidth="1"/>
    <col min="12805" max="12805" width="11.42578125" customWidth="1"/>
    <col min="13055" max="13055" width="37" bestFit="1" customWidth="1"/>
    <col min="13056" max="13056" width="8.28515625" customWidth="1"/>
    <col min="13057" max="13057" width="10.140625" customWidth="1"/>
    <col min="13058" max="13058" width="12.140625" customWidth="1"/>
    <col min="13060" max="13060" width="10.42578125" customWidth="1"/>
    <col min="13061" max="13061" width="11.42578125" customWidth="1"/>
    <col min="13311" max="13311" width="37" bestFit="1" customWidth="1"/>
    <col min="13312" max="13312" width="8.28515625" customWidth="1"/>
    <col min="13313" max="13313" width="10.140625" customWidth="1"/>
    <col min="13314" max="13314" width="12.140625" customWidth="1"/>
    <col min="13316" max="13316" width="10.42578125" customWidth="1"/>
    <col min="13317" max="13317" width="11.42578125" customWidth="1"/>
    <col min="13567" max="13567" width="37" bestFit="1" customWidth="1"/>
    <col min="13568" max="13568" width="8.28515625" customWidth="1"/>
    <col min="13569" max="13569" width="10.140625" customWidth="1"/>
    <col min="13570" max="13570" width="12.140625" customWidth="1"/>
    <col min="13572" max="13572" width="10.42578125" customWidth="1"/>
    <col min="13573" max="13573" width="11.42578125" customWidth="1"/>
    <col min="13823" max="13823" width="37" bestFit="1" customWidth="1"/>
    <col min="13824" max="13824" width="8.28515625" customWidth="1"/>
    <col min="13825" max="13825" width="10.140625" customWidth="1"/>
    <col min="13826" max="13826" width="12.140625" customWidth="1"/>
    <col min="13828" max="13828" width="10.42578125" customWidth="1"/>
    <col min="13829" max="13829" width="11.42578125" customWidth="1"/>
    <col min="14079" max="14079" width="37" bestFit="1" customWidth="1"/>
    <col min="14080" max="14080" width="8.28515625" customWidth="1"/>
    <col min="14081" max="14081" width="10.140625" customWidth="1"/>
    <col min="14082" max="14082" width="12.140625" customWidth="1"/>
    <col min="14084" max="14084" width="10.42578125" customWidth="1"/>
    <col min="14085" max="14085" width="11.42578125" customWidth="1"/>
    <col min="14335" max="14335" width="37" bestFit="1" customWidth="1"/>
    <col min="14336" max="14336" width="8.28515625" customWidth="1"/>
    <col min="14337" max="14337" width="10.140625" customWidth="1"/>
    <col min="14338" max="14338" width="12.140625" customWidth="1"/>
    <col min="14340" max="14340" width="10.42578125" customWidth="1"/>
    <col min="14341" max="14341" width="11.42578125" customWidth="1"/>
    <col min="14591" max="14591" width="37" bestFit="1" customWidth="1"/>
    <col min="14592" max="14592" width="8.28515625" customWidth="1"/>
    <col min="14593" max="14593" width="10.140625" customWidth="1"/>
    <col min="14594" max="14594" width="12.140625" customWidth="1"/>
    <col min="14596" max="14596" width="10.42578125" customWidth="1"/>
    <col min="14597" max="14597" width="11.42578125" customWidth="1"/>
    <col min="14847" max="14847" width="37" bestFit="1" customWidth="1"/>
    <col min="14848" max="14848" width="8.28515625" customWidth="1"/>
    <col min="14849" max="14849" width="10.140625" customWidth="1"/>
    <col min="14850" max="14850" width="12.140625" customWidth="1"/>
    <col min="14852" max="14852" width="10.42578125" customWidth="1"/>
    <col min="14853" max="14853" width="11.42578125" customWidth="1"/>
    <col min="15103" max="15103" width="37" bestFit="1" customWidth="1"/>
    <col min="15104" max="15104" width="8.28515625" customWidth="1"/>
    <col min="15105" max="15105" width="10.140625" customWidth="1"/>
    <col min="15106" max="15106" width="12.140625" customWidth="1"/>
    <col min="15108" max="15108" width="10.42578125" customWidth="1"/>
    <col min="15109" max="15109" width="11.42578125" customWidth="1"/>
    <col min="15359" max="15359" width="37" bestFit="1" customWidth="1"/>
    <col min="15360" max="15360" width="8.28515625" customWidth="1"/>
    <col min="15361" max="15361" width="10.140625" customWidth="1"/>
    <col min="15362" max="15362" width="12.140625" customWidth="1"/>
    <col min="15364" max="15364" width="10.42578125" customWidth="1"/>
    <col min="15365" max="15365" width="11.42578125" customWidth="1"/>
    <col min="15615" max="15615" width="37" bestFit="1" customWidth="1"/>
    <col min="15616" max="15616" width="8.28515625" customWidth="1"/>
    <col min="15617" max="15617" width="10.140625" customWidth="1"/>
    <col min="15618" max="15618" width="12.140625" customWidth="1"/>
    <col min="15620" max="15620" width="10.42578125" customWidth="1"/>
    <col min="15621" max="15621" width="11.42578125" customWidth="1"/>
    <col min="15871" max="15871" width="37" bestFit="1" customWidth="1"/>
    <col min="15872" max="15872" width="8.28515625" customWidth="1"/>
    <col min="15873" max="15873" width="10.140625" customWidth="1"/>
    <col min="15874" max="15874" width="12.140625" customWidth="1"/>
    <col min="15876" max="15876" width="10.42578125" customWidth="1"/>
    <col min="15877" max="15877" width="11.42578125" customWidth="1"/>
    <col min="16127" max="16127" width="37" bestFit="1" customWidth="1"/>
    <col min="16128" max="16128" width="8.28515625" customWidth="1"/>
    <col min="16129" max="16129" width="10.140625" customWidth="1"/>
    <col min="16130" max="16130" width="12.140625" customWidth="1"/>
    <col min="16132" max="16132" width="10.42578125" customWidth="1"/>
    <col min="16133" max="16133" width="11.42578125" customWidth="1"/>
  </cols>
  <sheetData>
    <row r="1" spans="1:9" x14ac:dyDescent="0.25">
      <c r="A1" s="7" t="s">
        <v>45</v>
      </c>
      <c r="B1" s="7" t="s">
        <v>46</v>
      </c>
      <c r="C1" s="8" t="s">
        <v>47</v>
      </c>
      <c r="D1" s="9" t="s">
        <v>48</v>
      </c>
      <c r="E1" s="9" t="s">
        <v>49</v>
      </c>
      <c r="F1" s="10" t="s">
        <v>50</v>
      </c>
      <c r="G1" s="9" t="s">
        <v>51</v>
      </c>
      <c r="H1" s="9" t="s">
        <v>53</v>
      </c>
      <c r="I1" s="9" t="s">
        <v>55</v>
      </c>
    </row>
    <row r="2" spans="1:9" x14ac:dyDescent="0.25">
      <c r="A2" t="s">
        <v>52</v>
      </c>
      <c r="B2" t="s">
        <v>53</v>
      </c>
      <c r="C2" s="11">
        <v>180</v>
      </c>
      <c r="D2" s="12">
        <v>150</v>
      </c>
      <c r="E2" s="11">
        <v>63.1</v>
      </c>
      <c r="F2" s="13">
        <v>4056</v>
      </c>
      <c r="G2" s="12">
        <v>6.9</v>
      </c>
      <c r="H2">
        <f>IF(B2="PG",1,0)</f>
        <v>1</v>
      </c>
      <c r="I2">
        <f>IF(B2="R",1,0)</f>
        <v>0</v>
      </c>
    </row>
    <row r="3" spans="1:9" x14ac:dyDescent="0.25">
      <c r="A3" t="s">
        <v>54</v>
      </c>
      <c r="B3" t="s">
        <v>55</v>
      </c>
      <c r="C3" s="11">
        <v>17.399999999999999</v>
      </c>
      <c r="D3" s="12">
        <v>8</v>
      </c>
      <c r="E3" s="11">
        <v>8</v>
      </c>
      <c r="F3" s="13">
        <v>2812</v>
      </c>
      <c r="G3" s="12">
        <v>6</v>
      </c>
      <c r="H3">
        <f t="shared" ref="H3:H39" si="0">IF(B3="PG",1,0)</f>
        <v>0</v>
      </c>
      <c r="I3">
        <f t="shared" ref="I3:I39" si="1">IF(B3="R",1,0)</f>
        <v>1</v>
      </c>
    </row>
    <row r="4" spans="1:9" x14ac:dyDescent="0.25">
      <c r="A4" t="s">
        <v>56</v>
      </c>
      <c r="B4" t="s">
        <v>55</v>
      </c>
      <c r="C4" s="11">
        <v>10.9</v>
      </c>
      <c r="D4" s="12">
        <v>25</v>
      </c>
      <c r="E4" s="11">
        <v>4.5999999999999996</v>
      </c>
      <c r="F4" s="13">
        <v>1291</v>
      </c>
      <c r="G4" s="12">
        <v>6.5</v>
      </c>
      <c r="H4">
        <f t="shared" si="0"/>
        <v>0</v>
      </c>
      <c r="I4">
        <f t="shared" si="1"/>
        <v>1</v>
      </c>
    </row>
    <row r="5" spans="1:9" x14ac:dyDescent="0.25">
      <c r="A5" t="s">
        <v>57</v>
      </c>
      <c r="B5" t="s">
        <v>58</v>
      </c>
      <c r="C5" s="11">
        <v>127.5</v>
      </c>
      <c r="D5" s="12">
        <v>150</v>
      </c>
      <c r="E5" s="11">
        <v>26.9</v>
      </c>
      <c r="F5" s="13">
        <v>2988</v>
      </c>
      <c r="G5" s="12">
        <v>8</v>
      </c>
      <c r="H5">
        <f t="shared" si="0"/>
        <v>0</v>
      </c>
      <c r="I5">
        <f t="shared" si="1"/>
        <v>0</v>
      </c>
    </row>
    <row r="6" spans="1:9" x14ac:dyDescent="0.25">
      <c r="A6" t="s">
        <v>59</v>
      </c>
      <c r="B6" t="s">
        <v>55</v>
      </c>
      <c r="C6" s="11">
        <v>2.2999999999999998</v>
      </c>
      <c r="D6" s="12">
        <v>7</v>
      </c>
      <c r="E6" s="11">
        <v>1.1000000000000001</v>
      </c>
      <c r="F6" s="13">
        <v>1379</v>
      </c>
      <c r="G6" s="12">
        <v>6.9</v>
      </c>
      <c r="H6">
        <f t="shared" si="0"/>
        <v>0</v>
      </c>
      <c r="I6">
        <f t="shared" si="1"/>
        <v>1</v>
      </c>
    </row>
    <row r="7" spans="1:9" x14ac:dyDescent="0.25">
      <c r="A7" t="s">
        <v>60</v>
      </c>
      <c r="B7" t="s">
        <v>58</v>
      </c>
      <c r="C7" s="11">
        <v>37.799999999999997</v>
      </c>
      <c r="D7" s="12">
        <v>11</v>
      </c>
      <c r="E7" s="11">
        <v>10.5</v>
      </c>
      <c r="F7" s="13">
        <v>1591</v>
      </c>
      <c r="G7" s="12">
        <v>7</v>
      </c>
      <c r="H7">
        <f t="shared" si="0"/>
        <v>0</v>
      </c>
      <c r="I7">
        <f t="shared" si="1"/>
        <v>0</v>
      </c>
    </row>
    <row r="8" spans="1:9" x14ac:dyDescent="0.25">
      <c r="A8" t="s">
        <v>61</v>
      </c>
      <c r="B8" t="s">
        <v>53</v>
      </c>
      <c r="C8" s="11">
        <v>215.4</v>
      </c>
      <c r="D8" s="12">
        <v>130</v>
      </c>
      <c r="E8" s="11">
        <v>60.2</v>
      </c>
      <c r="F8" s="13">
        <v>4114</v>
      </c>
      <c r="G8" s="12">
        <v>7.7</v>
      </c>
      <c r="H8">
        <f t="shared" si="0"/>
        <v>1</v>
      </c>
      <c r="I8">
        <f t="shared" si="1"/>
        <v>0</v>
      </c>
    </row>
    <row r="9" spans="1:9" x14ac:dyDescent="0.25">
      <c r="A9" t="s">
        <v>62</v>
      </c>
      <c r="B9" t="s">
        <v>55</v>
      </c>
      <c r="C9" s="11">
        <v>64.5</v>
      </c>
      <c r="D9" s="12">
        <v>60</v>
      </c>
      <c r="E9" s="11">
        <v>30.5</v>
      </c>
      <c r="F9" s="13">
        <v>2986</v>
      </c>
      <c r="G9" s="12">
        <v>5.2</v>
      </c>
      <c r="H9">
        <f t="shared" si="0"/>
        <v>0</v>
      </c>
      <c r="I9">
        <f t="shared" si="1"/>
        <v>1</v>
      </c>
    </row>
    <row r="10" spans="1:9" x14ac:dyDescent="0.25">
      <c r="A10" t="s">
        <v>63</v>
      </c>
      <c r="B10" t="s">
        <v>55</v>
      </c>
      <c r="C10" s="11">
        <v>52.5</v>
      </c>
      <c r="D10" s="12">
        <v>10</v>
      </c>
      <c r="E10" s="11">
        <v>21</v>
      </c>
      <c r="F10" s="13">
        <v>2466</v>
      </c>
      <c r="G10" s="12">
        <v>6</v>
      </c>
      <c r="H10">
        <f t="shared" si="0"/>
        <v>0</v>
      </c>
      <c r="I10">
        <f t="shared" si="1"/>
        <v>1</v>
      </c>
    </row>
    <row r="11" spans="1:9" x14ac:dyDescent="0.25">
      <c r="A11" t="s">
        <v>64</v>
      </c>
      <c r="B11" t="s">
        <v>58</v>
      </c>
      <c r="C11" s="11">
        <v>43.8</v>
      </c>
      <c r="D11" s="12">
        <v>20</v>
      </c>
      <c r="E11" s="11">
        <v>20.8</v>
      </c>
      <c r="F11" s="13">
        <v>2700</v>
      </c>
      <c r="G11" s="12">
        <v>3.6</v>
      </c>
      <c r="H11">
        <f t="shared" si="0"/>
        <v>0</v>
      </c>
      <c r="I11">
        <f t="shared" si="1"/>
        <v>0</v>
      </c>
    </row>
    <row r="12" spans="1:9" x14ac:dyDescent="0.25">
      <c r="A12" t="s">
        <v>65</v>
      </c>
      <c r="B12" t="s">
        <v>58</v>
      </c>
      <c r="C12" s="11">
        <v>533.29999999999995</v>
      </c>
      <c r="D12" s="12">
        <v>185</v>
      </c>
      <c r="E12" s="11">
        <v>158.4</v>
      </c>
      <c r="F12" s="13">
        <v>4366</v>
      </c>
      <c r="G12" s="12">
        <v>8.9</v>
      </c>
      <c r="H12">
        <f t="shared" si="0"/>
        <v>0</v>
      </c>
      <c r="I12">
        <f t="shared" si="1"/>
        <v>0</v>
      </c>
    </row>
    <row r="13" spans="1:9" x14ac:dyDescent="0.25">
      <c r="A13" t="s">
        <v>66</v>
      </c>
      <c r="B13" t="s">
        <v>58</v>
      </c>
      <c r="C13" s="11">
        <v>60.3</v>
      </c>
      <c r="D13" s="12">
        <v>30</v>
      </c>
      <c r="E13" s="11">
        <v>17.399999999999999</v>
      </c>
      <c r="F13" s="13">
        <v>2543</v>
      </c>
      <c r="G13" s="12">
        <v>6.1</v>
      </c>
      <c r="H13">
        <f t="shared" si="0"/>
        <v>0</v>
      </c>
      <c r="I13">
        <f t="shared" si="1"/>
        <v>0</v>
      </c>
    </row>
    <row r="14" spans="1:9" x14ac:dyDescent="0.25">
      <c r="A14" t="s">
        <v>67</v>
      </c>
      <c r="B14" t="s">
        <v>55</v>
      </c>
      <c r="C14" s="11">
        <v>134.30000000000001</v>
      </c>
      <c r="D14" s="12">
        <v>75</v>
      </c>
      <c r="E14" s="11">
        <v>50.9</v>
      </c>
      <c r="F14" s="13">
        <v>3175</v>
      </c>
      <c r="G14" s="12">
        <v>6.8</v>
      </c>
      <c r="H14">
        <f t="shared" si="0"/>
        <v>0</v>
      </c>
      <c r="I14">
        <f t="shared" si="1"/>
        <v>1</v>
      </c>
    </row>
    <row r="15" spans="1:9" x14ac:dyDescent="0.25">
      <c r="A15" t="s">
        <v>68</v>
      </c>
      <c r="B15" t="s">
        <v>55</v>
      </c>
      <c r="C15" s="11">
        <v>35.700000000000003</v>
      </c>
      <c r="D15" s="12">
        <v>55</v>
      </c>
      <c r="E15" s="11">
        <v>10</v>
      </c>
      <c r="F15" s="13">
        <v>1850</v>
      </c>
      <c r="G15" s="12">
        <v>8</v>
      </c>
      <c r="H15">
        <f t="shared" si="0"/>
        <v>0</v>
      </c>
      <c r="I15">
        <f t="shared" si="1"/>
        <v>1</v>
      </c>
    </row>
    <row r="16" spans="1:9" x14ac:dyDescent="0.25">
      <c r="A16" t="s">
        <v>69</v>
      </c>
      <c r="B16" t="s">
        <v>58</v>
      </c>
      <c r="C16" s="11">
        <v>97.7</v>
      </c>
      <c r="D16" s="12">
        <v>70</v>
      </c>
      <c r="E16" s="11">
        <v>18.3</v>
      </c>
      <c r="F16" s="13">
        <v>3434</v>
      </c>
      <c r="G16" s="12">
        <v>7</v>
      </c>
      <c r="H16">
        <f t="shared" si="0"/>
        <v>0</v>
      </c>
      <c r="I16">
        <f t="shared" si="1"/>
        <v>0</v>
      </c>
    </row>
    <row r="17" spans="1:9" x14ac:dyDescent="0.25">
      <c r="A17" t="s">
        <v>70</v>
      </c>
      <c r="B17" t="s">
        <v>53</v>
      </c>
      <c r="C17" s="11">
        <v>9.6</v>
      </c>
      <c r="D17" s="12">
        <v>40</v>
      </c>
      <c r="E17" s="11">
        <v>4.5999999999999996</v>
      </c>
      <c r="F17" s="13">
        <v>2808</v>
      </c>
      <c r="G17" s="12">
        <v>7.1</v>
      </c>
      <c r="H17">
        <f t="shared" si="0"/>
        <v>1</v>
      </c>
      <c r="I17">
        <f t="shared" si="1"/>
        <v>0</v>
      </c>
    </row>
    <row r="18" spans="1:9" x14ac:dyDescent="0.25">
      <c r="A18" t="s">
        <v>71</v>
      </c>
      <c r="B18" t="s">
        <v>58</v>
      </c>
      <c r="C18" s="11">
        <v>25.5</v>
      </c>
      <c r="D18" s="12">
        <v>25.1</v>
      </c>
      <c r="E18" s="11">
        <v>10.5</v>
      </c>
      <c r="F18" s="13">
        <v>2030</v>
      </c>
      <c r="G18" s="12">
        <v>6.6</v>
      </c>
      <c r="H18">
        <f t="shared" si="0"/>
        <v>0</v>
      </c>
      <c r="I18">
        <f t="shared" si="1"/>
        <v>0</v>
      </c>
    </row>
    <row r="19" spans="1:9" x14ac:dyDescent="0.25">
      <c r="A19" t="s">
        <v>72</v>
      </c>
      <c r="B19" t="s">
        <v>58</v>
      </c>
      <c r="C19" s="11">
        <v>102.2</v>
      </c>
      <c r="D19" s="12">
        <v>145</v>
      </c>
      <c r="E19" s="11">
        <v>40.5</v>
      </c>
      <c r="F19" s="13">
        <v>3760</v>
      </c>
      <c r="G19" s="12">
        <v>5.0999999999999996</v>
      </c>
      <c r="H19">
        <f t="shared" si="0"/>
        <v>0</v>
      </c>
      <c r="I19">
        <f t="shared" si="1"/>
        <v>0</v>
      </c>
    </row>
    <row r="20" spans="1:9" x14ac:dyDescent="0.25">
      <c r="A20" t="s">
        <v>73</v>
      </c>
      <c r="B20" t="s">
        <v>58</v>
      </c>
      <c r="C20" s="11">
        <v>101.1</v>
      </c>
      <c r="D20" s="12">
        <v>80</v>
      </c>
      <c r="E20" s="11">
        <v>29.2</v>
      </c>
      <c r="F20" s="13">
        <v>3510</v>
      </c>
      <c r="G20" s="12">
        <v>6.6</v>
      </c>
      <c r="H20">
        <f t="shared" si="0"/>
        <v>0</v>
      </c>
      <c r="I20">
        <f t="shared" si="1"/>
        <v>0</v>
      </c>
    </row>
    <row r="21" spans="1:9" x14ac:dyDescent="0.25">
      <c r="A21" t="s">
        <v>74</v>
      </c>
      <c r="B21" t="s">
        <v>55</v>
      </c>
      <c r="C21" s="11">
        <v>60.3</v>
      </c>
      <c r="D21" s="12">
        <v>37</v>
      </c>
      <c r="E21" s="11">
        <v>19.100000000000001</v>
      </c>
      <c r="F21" s="13">
        <v>2651</v>
      </c>
      <c r="G21" s="12">
        <v>7.2</v>
      </c>
      <c r="H21">
        <f t="shared" si="0"/>
        <v>0</v>
      </c>
      <c r="I21">
        <f t="shared" si="1"/>
        <v>1</v>
      </c>
    </row>
    <row r="22" spans="1:9" x14ac:dyDescent="0.25">
      <c r="A22" t="s">
        <v>75</v>
      </c>
      <c r="B22" t="s">
        <v>55</v>
      </c>
      <c r="C22" s="11">
        <v>56.7</v>
      </c>
      <c r="D22" s="12">
        <v>10.8</v>
      </c>
      <c r="E22" s="11">
        <v>30.1</v>
      </c>
      <c r="F22" s="13">
        <v>3060</v>
      </c>
      <c r="G22" s="12">
        <v>5.8</v>
      </c>
      <c r="H22">
        <f t="shared" si="0"/>
        <v>0</v>
      </c>
      <c r="I22">
        <f t="shared" si="1"/>
        <v>1</v>
      </c>
    </row>
    <row r="23" spans="1:9" x14ac:dyDescent="0.25">
      <c r="A23" t="s">
        <v>76</v>
      </c>
      <c r="B23" t="s">
        <v>55</v>
      </c>
      <c r="C23" s="11">
        <v>7.9</v>
      </c>
      <c r="D23" s="12">
        <v>45</v>
      </c>
      <c r="E23" s="11">
        <v>3.5</v>
      </c>
      <c r="F23" s="13">
        <v>1185</v>
      </c>
      <c r="G23" s="12">
        <v>5.9</v>
      </c>
      <c r="H23">
        <f t="shared" si="0"/>
        <v>0</v>
      </c>
      <c r="I23">
        <f t="shared" si="1"/>
        <v>1</v>
      </c>
    </row>
    <row r="24" spans="1:9" x14ac:dyDescent="0.25">
      <c r="A24" t="s">
        <v>77</v>
      </c>
      <c r="B24" t="s">
        <v>58</v>
      </c>
      <c r="C24" s="11">
        <v>79.400000000000006</v>
      </c>
      <c r="D24" s="12">
        <v>80</v>
      </c>
      <c r="E24" s="11">
        <v>30.5</v>
      </c>
      <c r="F24" s="13">
        <v>3560</v>
      </c>
      <c r="G24" s="12">
        <v>5.5</v>
      </c>
      <c r="H24">
        <f t="shared" si="0"/>
        <v>0</v>
      </c>
      <c r="I24">
        <f t="shared" si="1"/>
        <v>0</v>
      </c>
    </row>
    <row r="25" spans="1:9" x14ac:dyDescent="0.25">
      <c r="A25" t="s">
        <v>78</v>
      </c>
      <c r="B25" t="s">
        <v>58</v>
      </c>
      <c r="C25" s="11">
        <v>11.2</v>
      </c>
      <c r="D25" s="12">
        <v>20</v>
      </c>
      <c r="E25" s="11">
        <v>4.0999999999999996</v>
      </c>
      <c r="F25" s="13">
        <v>808</v>
      </c>
      <c r="G25" s="12">
        <v>6.6</v>
      </c>
      <c r="H25">
        <f t="shared" si="0"/>
        <v>0</v>
      </c>
      <c r="I25">
        <f t="shared" si="1"/>
        <v>0</v>
      </c>
    </row>
    <row r="26" spans="1:9" x14ac:dyDescent="0.25">
      <c r="A26" t="s">
        <v>79</v>
      </c>
      <c r="B26" t="s">
        <v>58</v>
      </c>
      <c r="C26" s="11">
        <v>80.2</v>
      </c>
      <c r="D26" s="12">
        <v>85</v>
      </c>
      <c r="E26" s="11">
        <v>32.1</v>
      </c>
      <c r="F26" s="13">
        <v>3428</v>
      </c>
      <c r="G26" s="12">
        <v>5.9</v>
      </c>
      <c r="H26">
        <f t="shared" si="0"/>
        <v>0</v>
      </c>
      <c r="I26">
        <f t="shared" si="1"/>
        <v>0</v>
      </c>
    </row>
    <row r="27" spans="1:9" x14ac:dyDescent="0.25">
      <c r="A27" t="s">
        <v>80</v>
      </c>
      <c r="B27" t="s">
        <v>58</v>
      </c>
      <c r="C27" s="11">
        <v>227.9</v>
      </c>
      <c r="D27" s="12">
        <v>150</v>
      </c>
      <c r="E27" s="11">
        <v>62.6</v>
      </c>
      <c r="F27" s="13">
        <v>3965</v>
      </c>
      <c r="G27" s="12">
        <v>6.5</v>
      </c>
      <c r="H27">
        <f t="shared" si="0"/>
        <v>0</v>
      </c>
      <c r="I27">
        <f t="shared" si="1"/>
        <v>0</v>
      </c>
    </row>
    <row r="28" spans="1:9" x14ac:dyDescent="0.25">
      <c r="A28" t="s">
        <v>81</v>
      </c>
      <c r="B28" t="s">
        <v>53</v>
      </c>
      <c r="C28" s="11">
        <v>43.9</v>
      </c>
      <c r="D28" s="12">
        <v>120</v>
      </c>
      <c r="E28" s="11">
        <v>18.600000000000001</v>
      </c>
      <c r="F28" s="13">
        <v>3606</v>
      </c>
      <c r="G28" s="12">
        <v>6.3</v>
      </c>
      <c r="H28">
        <f t="shared" si="0"/>
        <v>1</v>
      </c>
      <c r="I28">
        <f t="shared" si="1"/>
        <v>0</v>
      </c>
    </row>
    <row r="29" spans="1:9" x14ac:dyDescent="0.25">
      <c r="A29" t="s">
        <v>82</v>
      </c>
      <c r="B29" t="s">
        <v>55</v>
      </c>
      <c r="C29" s="11">
        <v>31.4</v>
      </c>
      <c r="D29" s="12">
        <v>12</v>
      </c>
      <c r="E29" s="11">
        <v>12.4</v>
      </c>
      <c r="F29" s="13">
        <v>2436</v>
      </c>
      <c r="G29" s="12">
        <v>5.3</v>
      </c>
      <c r="H29">
        <f t="shared" si="0"/>
        <v>0</v>
      </c>
      <c r="I29">
        <f t="shared" si="1"/>
        <v>1</v>
      </c>
    </row>
    <row r="30" spans="1:9" x14ac:dyDescent="0.25">
      <c r="A30" t="s">
        <v>83</v>
      </c>
      <c r="B30" t="s">
        <v>55</v>
      </c>
      <c r="C30" s="11">
        <v>36.1</v>
      </c>
      <c r="D30" s="12">
        <v>45</v>
      </c>
      <c r="E30" s="11">
        <v>12.6</v>
      </c>
      <c r="F30" s="13">
        <v>2532</v>
      </c>
      <c r="G30" s="12">
        <v>6.6</v>
      </c>
      <c r="H30">
        <f t="shared" si="0"/>
        <v>0</v>
      </c>
      <c r="I30">
        <f t="shared" si="1"/>
        <v>1</v>
      </c>
    </row>
    <row r="31" spans="1:9" x14ac:dyDescent="0.25">
      <c r="A31" t="s">
        <v>84</v>
      </c>
      <c r="B31" t="s">
        <v>55</v>
      </c>
      <c r="C31" s="11">
        <v>4.7</v>
      </c>
      <c r="D31" s="12">
        <v>6.5</v>
      </c>
      <c r="E31" s="11">
        <v>2.6</v>
      </c>
      <c r="F31" s="13">
        <v>2123</v>
      </c>
      <c r="G31" s="12">
        <v>4.3</v>
      </c>
      <c r="H31">
        <f t="shared" si="0"/>
        <v>0</v>
      </c>
      <c r="I31">
        <f t="shared" si="1"/>
        <v>1</v>
      </c>
    </row>
    <row r="32" spans="1:9" x14ac:dyDescent="0.25">
      <c r="A32" t="s">
        <v>85</v>
      </c>
      <c r="B32" t="s">
        <v>55</v>
      </c>
      <c r="C32" s="11">
        <v>3.1</v>
      </c>
      <c r="D32" s="12">
        <v>25</v>
      </c>
      <c r="E32" s="11">
        <v>2</v>
      </c>
      <c r="F32" s="13">
        <v>1690</v>
      </c>
      <c r="G32" s="12">
        <v>6.7</v>
      </c>
      <c r="H32">
        <f t="shared" si="0"/>
        <v>0</v>
      </c>
      <c r="I32">
        <f t="shared" si="1"/>
        <v>1</v>
      </c>
    </row>
    <row r="33" spans="1:9" x14ac:dyDescent="0.25">
      <c r="A33" t="s">
        <v>86</v>
      </c>
      <c r="B33" t="s">
        <v>58</v>
      </c>
      <c r="C33" s="11">
        <v>318.3</v>
      </c>
      <c r="D33" s="12">
        <v>140</v>
      </c>
      <c r="E33" s="11">
        <v>102.1</v>
      </c>
      <c r="F33" s="13">
        <v>4105</v>
      </c>
      <c r="G33" s="12">
        <v>8</v>
      </c>
      <c r="H33">
        <f t="shared" si="0"/>
        <v>0</v>
      </c>
      <c r="I33">
        <f t="shared" si="1"/>
        <v>0</v>
      </c>
    </row>
    <row r="34" spans="1:9" x14ac:dyDescent="0.25">
      <c r="A34" t="s">
        <v>87</v>
      </c>
      <c r="B34" t="s">
        <v>58</v>
      </c>
      <c r="C34" s="14">
        <v>39.299999999999997</v>
      </c>
      <c r="D34" s="12">
        <v>22</v>
      </c>
      <c r="E34" s="11">
        <v>15</v>
      </c>
      <c r="F34" s="13">
        <v>2464</v>
      </c>
      <c r="G34" s="13">
        <v>6.3</v>
      </c>
      <c r="H34">
        <f t="shared" si="0"/>
        <v>0</v>
      </c>
      <c r="I34">
        <f t="shared" si="1"/>
        <v>0</v>
      </c>
    </row>
    <row r="35" spans="1:9" x14ac:dyDescent="0.25">
      <c r="A35" s="15" t="s">
        <v>88</v>
      </c>
      <c r="B35" s="15" t="s">
        <v>55</v>
      </c>
      <c r="C35" s="14">
        <v>1073</v>
      </c>
      <c r="D35" s="12">
        <v>62.5</v>
      </c>
      <c r="E35" s="11">
        <v>96.2</v>
      </c>
      <c r="F35" s="13">
        <v>4374</v>
      </c>
      <c r="G35" s="12">
        <v>8.6</v>
      </c>
      <c r="H35">
        <f t="shared" si="0"/>
        <v>0</v>
      </c>
      <c r="I35">
        <f t="shared" si="1"/>
        <v>1</v>
      </c>
    </row>
    <row r="36" spans="1:9" x14ac:dyDescent="0.25">
      <c r="A36" s="15" t="s">
        <v>89</v>
      </c>
      <c r="B36" t="s">
        <v>58</v>
      </c>
      <c r="C36" s="14">
        <v>853</v>
      </c>
      <c r="D36" s="12">
        <v>356</v>
      </c>
      <c r="E36" s="11">
        <v>350</v>
      </c>
      <c r="F36" s="13">
        <v>4662</v>
      </c>
      <c r="G36" s="12">
        <v>8.5</v>
      </c>
      <c r="H36">
        <f t="shared" si="0"/>
        <v>0</v>
      </c>
      <c r="I36">
        <f t="shared" si="1"/>
        <v>0</v>
      </c>
    </row>
    <row r="37" spans="1:9" x14ac:dyDescent="0.25">
      <c r="A37" s="15" t="s">
        <v>90</v>
      </c>
      <c r="B37" t="s">
        <v>58</v>
      </c>
      <c r="C37" s="14">
        <v>761</v>
      </c>
      <c r="D37" s="12">
        <v>237</v>
      </c>
      <c r="E37" s="11">
        <v>77</v>
      </c>
      <c r="F37" s="13">
        <v>3461</v>
      </c>
      <c r="G37" s="12">
        <v>7.8</v>
      </c>
      <c r="H37">
        <f t="shared" si="0"/>
        <v>0</v>
      </c>
      <c r="I37">
        <f t="shared" si="1"/>
        <v>0</v>
      </c>
    </row>
    <row r="38" spans="1:9" x14ac:dyDescent="0.25">
      <c r="A38" s="15" t="s">
        <v>91</v>
      </c>
      <c r="B38" s="15" t="s">
        <v>55</v>
      </c>
      <c r="C38" s="14">
        <v>48.9</v>
      </c>
      <c r="D38" s="12">
        <v>11</v>
      </c>
      <c r="E38" s="11">
        <v>0.376</v>
      </c>
      <c r="F38" s="13">
        <v>2001</v>
      </c>
      <c r="G38" s="12">
        <v>8.6</v>
      </c>
      <c r="H38">
        <f t="shared" si="0"/>
        <v>0</v>
      </c>
      <c r="I38">
        <f t="shared" si="1"/>
        <v>1</v>
      </c>
    </row>
    <row r="39" spans="1:9" x14ac:dyDescent="0.25">
      <c r="A39" s="15" t="s">
        <v>92</v>
      </c>
      <c r="B39" s="15" t="s">
        <v>55</v>
      </c>
      <c r="C39" s="14">
        <v>8</v>
      </c>
      <c r="D39" s="12">
        <v>160</v>
      </c>
      <c r="E39" s="11">
        <v>0.35</v>
      </c>
      <c r="F39" s="13">
        <v>250</v>
      </c>
      <c r="G39" s="12">
        <v>8</v>
      </c>
      <c r="H39">
        <f t="shared" si="0"/>
        <v>0</v>
      </c>
      <c r="I39">
        <f t="shared" si="1"/>
        <v>1</v>
      </c>
    </row>
    <row r="40" spans="1:9" x14ac:dyDescent="0.25">
      <c r="C40" s="14"/>
      <c r="D40" s="12"/>
      <c r="E40" s="11"/>
    </row>
    <row r="41" spans="1:9" x14ac:dyDescent="0.25">
      <c r="C41" s="14"/>
      <c r="D41" s="12"/>
      <c r="E41" s="11"/>
    </row>
    <row r="42" spans="1:9" x14ac:dyDescent="0.25">
      <c r="C42" s="14"/>
      <c r="D42" s="12"/>
      <c r="E42" s="11"/>
    </row>
    <row r="43" spans="1:9" x14ac:dyDescent="0.25">
      <c r="C43" s="14"/>
      <c r="D43" s="12"/>
      <c r="E43" s="11"/>
    </row>
    <row r="44" spans="1:9" x14ac:dyDescent="0.25">
      <c r="C44" s="14"/>
      <c r="D44" s="12"/>
      <c r="E44" s="11"/>
    </row>
    <row r="45" spans="1:9" x14ac:dyDescent="0.25">
      <c r="C45" s="14"/>
      <c r="D45" s="12"/>
      <c r="E45" s="11"/>
    </row>
    <row r="46" spans="1:9" x14ac:dyDescent="0.25">
      <c r="C46" s="14"/>
      <c r="D46" s="12"/>
      <c r="E46" s="11"/>
    </row>
    <row r="47" spans="1:9" x14ac:dyDescent="0.25">
      <c r="C47" s="14"/>
      <c r="D47" s="12"/>
      <c r="E47" s="11"/>
    </row>
    <row r="48" spans="1:9" x14ac:dyDescent="0.25">
      <c r="C48" s="14"/>
      <c r="D48" s="12"/>
      <c r="E48" s="11"/>
    </row>
    <row r="49" spans="3:5" x14ac:dyDescent="0.25">
      <c r="C49" s="14"/>
      <c r="D49" s="12"/>
      <c r="E49" s="11"/>
    </row>
    <row r="50" spans="3:5" x14ac:dyDescent="0.25">
      <c r="C50" s="14"/>
      <c r="E50" s="11"/>
    </row>
    <row r="51" spans="3:5" x14ac:dyDescent="0.25">
      <c r="E5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movies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Olmas Isakov</dc:creator>
  <cp:lastModifiedBy>Olmas Isakov</cp:lastModifiedBy>
  <dcterms:created xsi:type="dcterms:W3CDTF">2019-02-21T10:23:06Z</dcterms:created>
  <dcterms:modified xsi:type="dcterms:W3CDTF">2020-03-06T08:36:51Z</dcterms:modified>
</cp:coreProperties>
</file>